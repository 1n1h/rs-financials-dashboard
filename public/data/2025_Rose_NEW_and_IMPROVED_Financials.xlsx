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showInkAnnotation="0" defaultThemeVersion="202300"/>
  <mc:AlternateContent xmlns:mc="http://schemas.openxmlformats.org/markup-compatibility/2006">
    <mc:Choice Requires="x15">
      <x15ac:absPath xmlns:x15ac="http://schemas.microsoft.com/office/spreadsheetml/2010/11/ac" url="C:\Users\William Schafer\Dropbox\1  ACCTG\EA\a Personal\Family\Parents\Rose Schafer\Acctg\Financials\2025\"/>
    </mc:Choice>
  </mc:AlternateContent>
  <xr:revisionPtr revIDLastSave="0" documentId="13_ncr:1_{5AD1B3CD-F948-4695-954B-CA5980B9E789}" xr6:coauthVersionLast="47" xr6:coauthVersionMax="47" xr10:uidLastSave="{00000000-0000-0000-0000-000000000000}"/>
  <bookViews>
    <workbookView xWindow="-110" yWindow="-110" windowWidth="34620" windowHeight="13900" xr2:uid="{36BCFB75-8951-45E7-A109-A2DB748A5536}"/>
  </bookViews>
  <sheets>
    <sheet name="RS P&amp;L - 2025" sheetId="2" r:id="rId1"/>
    <sheet name="RS BS - 2025" sheetId="4" r:id="rId2"/>
    <sheet name="RS Personal P&amp;L - 2024" sheetId="1" r:id="rId3"/>
    <sheet name="RS Personal BS - 2024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4" i="2" l="1"/>
  <c r="K25" i="2" s="1"/>
  <c r="AL24" i="2"/>
  <c r="AL25" i="2" s="1"/>
  <c r="AI24" i="2"/>
  <c r="AI25" i="2" s="1"/>
  <c r="AF24" i="2"/>
  <c r="AF25" i="2" s="1"/>
  <c r="AC24" i="2"/>
  <c r="AC25" i="2" s="1"/>
  <c r="Z24" i="2"/>
  <c r="Z25" i="2" s="1"/>
  <c r="W24" i="2"/>
  <c r="W25" i="2" s="1"/>
  <c r="T24" i="2"/>
  <c r="T25" i="2" s="1"/>
  <c r="Q24" i="2"/>
  <c r="Q25" i="2" s="1"/>
  <c r="N24" i="2"/>
  <c r="N25" i="2" s="1"/>
  <c r="H24" i="2"/>
  <c r="AL121" i="2"/>
  <c r="AI121" i="2"/>
  <c r="AF121" i="2"/>
  <c r="AC121" i="2"/>
  <c r="Z121" i="2"/>
  <c r="W121" i="2"/>
  <c r="T121" i="2"/>
  <c r="Q121" i="2"/>
  <c r="Q123" i="2" s="1"/>
  <c r="N121" i="2"/>
  <c r="K121" i="2"/>
  <c r="H121" i="2"/>
  <c r="E121" i="2"/>
  <c r="AO114" i="2"/>
  <c r="AL114" i="2"/>
  <c r="AI114" i="2"/>
  <c r="AF114" i="2"/>
  <c r="AC114" i="2"/>
  <c r="Z114" i="2"/>
  <c r="Z123" i="2" s="1"/>
  <c r="W114" i="2"/>
  <c r="W123" i="2" s="1"/>
  <c r="T114" i="2"/>
  <c r="Q114" i="2"/>
  <c r="N114" i="2"/>
  <c r="K114" i="2"/>
  <c r="H114" i="2"/>
  <c r="E114" i="2"/>
  <c r="AN41" i="2"/>
  <c r="AN40" i="2"/>
  <c r="AN39" i="2"/>
  <c r="AN38" i="2"/>
  <c r="AN37" i="2"/>
  <c r="AL101" i="2"/>
  <c r="AI101" i="2"/>
  <c r="AI103" i="2" s="1"/>
  <c r="AF101" i="2"/>
  <c r="AC101" i="2"/>
  <c r="Z101" i="2"/>
  <c r="W101" i="2"/>
  <c r="T101" i="2"/>
  <c r="Q101" i="2"/>
  <c r="N101" i="2"/>
  <c r="K101" i="2"/>
  <c r="K103" i="2" s="1"/>
  <c r="H101" i="2"/>
  <c r="E101" i="2"/>
  <c r="AO84" i="2"/>
  <c r="AO83" i="2"/>
  <c r="AO93" i="2"/>
  <c r="AO94" i="2"/>
  <c r="AO95" i="2"/>
  <c r="AO92" i="2"/>
  <c r="AL96" i="2"/>
  <c r="AI96" i="2"/>
  <c r="AF96" i="2"/>
  <c r="AC96" i="2"/>
  <c r="Z96" i="2"/>
  <c r="W96" i="2"/>
  <c r="T96" i="2"/>
  <c r="Q96" i="2"/>
  <c r="N96" i="2"/>
  <c r="K96" i="2"/>
  <c r="H96" i="2"/>
  <c r="E96" i="2"/>
  <c r="AL86" i="2"/>
  <c r="AI86" i="2"/>
  <c r="AF86" i="2"/>
  <c r="AC86" i="2"/>
  <c r="Z86" i="2"/>
  <c r="W86" i="2"/>
  <c r="T86" i="2"/>
  <c r="Q86" i="2"/>
  <c r="N86" i="2"/>
  <c r="K86" i="2"/>
  <c r="H86" i="2"/>
  <c r="E86" i="2"/>
  <c r="AL90" i="2"/>
  <c r="AI90" i="2"/>
  <c r="AF90" i="2"/>
  <c r="AC90" i="2"/>
  <c r="Z90" i="2"/>
  <c r="W90" i="2"/>
  <c r="T90" i="2"/>
  <c r="Q90" i="2"/>
  <c r="N90" i="2"/>
  <c r="K90" i="2"/>
  <c r="H90" i="2"/>
  <c r="E90" i="2"/>
  <c r="AO20" i="2"/>
  <c r="AO85" i="2"/>
  <c r="AO82" i="2"/>
  <c r="AO89" i="2"/>
  <c r="AO90" i="2" s="1"/>
  <c r="AO81" i="2"/>
  <c r="AO80" i="2"/>
  <c r="AO79" i="2"/>
  <c r="AL77" i="2"/>
  <c r="AI77" i="2"/>
  <c r="AF77" i="2"/>
  <c r="AC77" i="2"/>
  <c r="Z77" i="2"/>
  <c r="W77" i="2"/>
  <c r="T77" i="2"/>
  <c r="Q77" i="2"/>
  <c r="N77" i="2"/>
  <c r="K77" i="2"/>
  <c r="H77" i="2"/>
  <c r="E77" i="2"/>
  <c r="AO74" i="2"/>
  <c r="AO75" i="2"/>
  <c r="AO76" i="2"/>
  <c r="AL67" i="2"/>
  <c r="AI67" i="2"/>
  <c r="AF67" i="2"/>
  <c r="AC67" i="2"/>
  <c r="Z67" i="2"/>
  <c r="W67" i="2"/>
  <c r="T67" i="2"/>
  <c r="Q67" i="2"/>
  <c r="N67" i="2"/>
  <c r="K67" i="2"/>
  <c r="H67" i="2"/>
  <c r="E67" i="2"/>
  <c r="AL62" i="2"/>
  <c r="AI62" i="2"/>
  <c r="AF62" i="2"/>
  <c r="AC62" i="2"/>
  <c r="Z62" i="2"/>
  <c r="W62" i="2"/>
  <c r="T62" i="2"/>
  <c r="Q62" i="2"/>
  <c r="N62" i="2"/>
  <c r="K62" i="2"/>
  <c r="H62" i="2"/>
  <c r="E62" i="2"/>
  <c r="AO56" i="2"/>
  <c r="AO57" i="2" s="1"/>
  <c r="AL57" i="2"/>
  <c r="AI57" i="2"/>
  <c r="AF57" i="2"/>
  <c r="AC57" i="2"/>
  <c r="Z57" i="2"/>
  <c r="W57" i="2"/>
  <c r="T57" i="2"/>
  <c r="Q57" i="2"/>
  <c r="N57" i="2"/>
  <c r="K57" i="2"/>
  <c r="H57" i="2"/>
  <c r="E57" i="2"/>
  <c r="AL42" i="2"/>
  <c r="AI42" i="2"/>
  <c r="AF42" i="2"/>
  <c r="AC42" i="2"/>
  <c r="Z42" i="2"/>
  <c r="W42" i="2"/>
  <c r="T42" i="2"/>
  <c r="Q42" i="2"/>
  <c r="N42" i="2"/>
  <c r="K42" i="2"/>
  <c r="H42" i="2"/>
  <c r="E42" i="2"/>
  <c r="AO66" i="2"/>
  <c r="AO67" i="2" s="1"/>
  <c r="AO51" i="2"/>
  <c r="AO52" i="2"/>
  <c r="AO50" i="2"/>
  <c r="AL53" i="2"/>
  <c r="AI53" i="2"/>
  <c r="AF53" i="2"/>
  <c r="AC53" i="2"/>
  <c r="Z53" i="2"/>
  <c r="W53" i="2"/>
  <c r="T53" i="2"/>
  <c r="Q53" i="2"/>
  <c r="N53" i="2"/>
  <c r="K53" i="2"/>
  <c r="H53" i="2"/>
  <c r="E53" i="2"/>
  <c r="AO46" i="2"/>
  <c r="AO33" i="2"/>
  <c r="AO61" i="2"/>
  <c r="AL47" i="2"/>
  <c r="AI47" i="2"/>
  <c r="AF47" i="2"/>
  <c r="AC47" i="2"/>
  <c r="Z47" i="2"/>
  <c r="W47" i="2"/>
  <c r="T47" i="2"/>
  <c r="Q47" i="2"/>
  <c r="N47" i="2"/>
  <c r="K47" i="2"/>
  <c r="H47" i="2"/>
  <c r="E47" i="2"/>
  <c r="AN35" i="2"/>
  <c r="AN36" i="2"/>
  <c r="AN34" i="2"/>
  <c r="E25" i="2"/>
  <c r="AO23" i="2"/>
  <c r="AO22" i="2"/>
  <c r="AO13" i="2"/>
  <c r="AO10" i="2"/>
  <c r="AO9" i="2"/>
  <c r="AO24" i="2" l="1"/>
  <c r="H25" i="2"/>
  <c r="Z103" i="2"/>
  <c r="H103" i="2"/>
  <c r="AF103" i="2"/>
  <c r="E123" i="2"/>
  <c r="AC123" i="2"/>
  <c r="N123" i="2"/>
  <c r="AL123" i="2"/>
  <c r="T123" i="2"/>
  <c r="N103" i="2"/>
  <c r="Q103" i="2"/>
  <c r="T103" i="2"/>
  <c r="H123" i="2"/>
  <c r="AF123" i="2"/>
  <c r="AL103" i="2"/>
  <c r="W103" i="2"/>
  <c r="E103" i="2"/>
  <c r="AC103" i="2"/>
  <c r="K123" i="2"/>
  <c r="AI123" i="2"/>
  <c r="AO96" i="2"/>
  <c r="AO86" i="2"/>
  <c r="AO77" i="2"/>
  <c r="W69" i="2"/>
  <c r="AF69" i="2"/>
  <c r="AF106" i="2" s="1"/>
  <c r="T69" i="2"/>
  <c r="T106" i="2" s="1"/>
  <c r="H69" i="2"/>
  <c r="H106" i="2" s="1"/>
  <c r="AC69" i="2"/>
  <c r="K69" i="2"/>
  <c r="K106" i="2" s="1"/>
  <c r="N69" i="2"/>
  <c r="Z69" i="2"/>
  <c r="Z106" i="2" s="1"/>
  <c r="E69" i="2"/>
  <c r="E106" i="2" s="1"/>
  <c r="AI69" i="2"/>
  <c r="AI106" i="2" s="1"/>
  <c r="AL69" i="2"/>
  <c r="AL106" i="2" s="1"/>
  <c r="Q69" i="2"/>
  <c r="Q106" i="2" s="1"/>
  <c r="AO47" i="2"/>
  <c r="AO53" i="2"/>
  <c r="AL16" i="2"/>
  <c r="AL27" i="2" s="1"/>
  <c r="AI16" i="2"/>
  <c r="AI27" i="2" s="1"/>
  <c r="AF16" i="2"/>
  <c r="AF27" i="2" s="1"/>
  <c r="AC16" i="2"/>
  <c r="AC27" i="2" s="1"/>
  <c r="Z16" i="2"/>
  <c r="Z27" i="2" s="1"/>
  <c r="W16" i="2"/>
  <c r="W27" i="2" s="1"/>
  <c r="T16" i="2"/>
  <c r="T27" i="2" s="1"/>
  <c r="Q16" i="2"/>
  <c r="Q27" i="2" s="1"/>
  <c r="N16" i="2"/>
  <c r="N27" i="2" s="1"/>
  <c r="K16" i="2"/>
  <c r="K27" i="2" s="1"/>
  <c r="H16" i="2"/>
  <c r="E16" i="2"/>
  <c r="H27" i="2" l="1"/>
  <c r="W106" i="2"/>
  <c r="N106" i="2"/>
  <c r="AC106" i="2"/>
  <c r="E27" i="2"/>
  <c r="E105" i="2" s="1"/>
  <c r="E107" i="2" s="1"/>
  <c r="AO16" i="2"/>
  <c r="AO100" i="2" l="1"/>
  <c r="AO101" i="2" s="1"/>
  <c r="AO103" i="2" s="1"/>
  <c r="AO71" i="2"/>
  <c r="AN46" i="2"/>
  <c r="AO119" i="2"/>
  <c r="AO120" i="2"/>
  <c r="AO118" i="2"/>
  <c r="AO117" i="2"/>
  <c r="AO11" i="2"/>
  <c r="AO14" i="2"/>
  <c r="AO21" i="2"/>
  <c r="AO19" i="2"/>
  <c r="Z34" i="4"/>
  <c r="X34" i="4"/>
  <c r="V34" i="4"/>
  <c r="T34" i="4"/>
  <c r="R34" i="4"/>
  <c r="P34" i="4"/>
  <c r="N34" i="4"/>
  <c r="L34" i="4"/>
  <c r="J34" i="4"/>
  <c r="H34" i="4"/>
  <c r="F34" i="4"/>
  <c r="D34" i="4"/>
  <c r="Z27" i="4"/>
  <c r="Z28" i="4" s="1"/>
  <c r="Z29" i="4" s="1"/>
  <c r="X27" i="4"/>
  <c r="V27" i="4"/>
  <c r="T27" i="4"/>
  <c r="R27" i="4"/>
  <c r="P27" i="4"/>
  <c r="P28" i="4" s="1"/>
  <c r="P29" i="4" s="1"/>
  <c r="N27" i="4"/>
  <c r="L27" i="4"/>
  <c r="J27" i="4"/>
  <c r="H27" i="4"/>
  <c r="F27" i="4"/>
  <c r="D27" i="4"/>
  <c r="Z24" i="4"/>
  <c r="X24" i="4"/>
  <c r="V24" i="4"/>
  <c r="T24" i="4"/>
  <c r="R24" i="4"/>
  <c r="P24" i="4"/>
  <c r="N24" i="4"/>
  <c r="L24" i="4"/>
  <c r="J24" i="4"/>
  <c r="H24" i="4"/>
  <c r="F24" i="4"/>
  <c r="D24" i="4"/>
  <c r="Z15" i="4"/>
  <c r="X15" i="4"/>
  <c r="V15" i="4"/>
  <c r="T15" i="4"/>
  <c r="R15" i="4"/>
  <c r="R16" i="4" s="1"/>
  <c r="R17" i="4" s="1"/>
  <c r="P15" i="4"/>
  <c r="N15" i="4"/>
  <c r="L15" i="4"/>
  <c r="J15" i="4"/>
  <c r="H15" i="4"/>
  <c r="F15" i="4"/>
  <c r="D15" i="4"/>
  <c r="Z12" i="4"/>
  <c r="Z16" i="4" s="1"/>
  <c r="Z17" i="4" s="1"/>
  <c r="X12" i="4"/>
  <c r="X16" i="4" s="1"/>
  <c r="X17" i="4" s="1"/>
  <c r="V12" i="4"/>
  <c r="V16" i="4" s="1"/>
  <c r="V17" i="4" s="1"/>
  <c r="T12" i="4"/>
  <c r="R12" i="4"/>
  <c r="P12" i="4"/>
  <c r="N12" i="4"/>
  <c r="N16" i="4" s="1"/>
  <c r="N17" i="4" s="1"/>
  <c r="L12" i="4"/>
  <c r="J12" i="4"/>
  <c r="J16" i="4" s="1"/>
  <c r="J17" i="4" s="1"/>
  <c r="H12" i="4"/>
  <c r="H16" i="4" s="1"/>
  <c r="H17" i="4" s="1"/>
  <c r="F12" i="4"/>
  <c r="D12" i="4"/>
  <c r="Z34" i="3"/>
  <c r="X34" i="3"/>
  <c r="V34" i="3"/>
  <c r="T34" i="3"/>
  <c r="R34" i="3"/>
  <c r="P34" i="3"/>
  <c r="N34" i="3"/>
  <c r="L34" i="3"/>
  <c r="J34" i="3"/>
  <c r="H34" i="3"/>
  <c r="F34" i="3"/>
  <c r="D35" i="3"/>
  <c r="D34" i="3"/>
  <c r="D29" i="3"/>
  <c r="J28" i="3"/>
  <c r="J29" i="3" s="1"/>
  <c r="D28" i="3"/>
  <c r="V28" i="3"/>
  <c r="V29" i="3" s="1"/>
  <c r="T28" i="3"/>
  <c r="T29" i="3" s="1"/>
  <c r="Z27" i="3"/>
  <c r="Z28" i="3" s="1"/>
  <c r="Z29" i="3" s="1"/>
  <c r="X27" i="3"/>
  <c r="X28" i="3" s="1"/>
  <c r="X29" i="3" s="1"/>
  <c r="V27" i="3"/>
  <c r="T27" i="3"/>
  <c r="R27" i="3"/>
  <c r="R28" i="3" s="1"/>
  <c r="R29" i="3" s="1"/>
  <c r="P27" i="3"/>
  <c r="P28" i="3" s="1"/>
  <c r="P29" i="3" s="1"/>
  <c r="N27" i="3"/>
  <c r="N28" i="3" s="1"/>
  <c r="N29" i="3" s="1"/>
  <c r="L27" i="3"/>
  <c r="L28" i="3" s="1"/>
  <c r="L29" i="3" s="1"/>
  <c r="J27" i="3"/>
  <c r="H27" i="3"/>
  <c r="H28" i="3" s="1"/>
  <c r="H29" i="3" s="1"/>
  <c r="F27" i="3"/>
  <c r="F28" i="3" s="1"/>
  <c r="F29" i="3" s="1"/>
  <c r="D27" i="3"/>
  <c r="Z24" i="3"/>
  <c r="X24" i="3"/>
  <c r="V24" i="3"/>
  <c r="T24" i="3"/>
  <c r="R24" i="3"/>
  <c r="P24" i="3"/>
  <c r="N24" i="3"/>
  <c r="L24" i="3"/>
  <c r="J24" i="3"/>
  <c r="H24" i="3"/>
  <c r="F24" i="3"/>
  <c r="D24" i="3"/>
  <c r="Z15" i="3"/>
  <c r="X15" i="3"/>
  <c r="V15" i="3"/>
  <c r="T15" i="3"/>
  <c r="R15" i="3"/>
  <c r="P15" i="3"/>
  <c r="N15" i="3"/>
  <c r="L15" i="3"/>
  <c r="J15" i="3"/>
  <c r="H15" i="3"/>
  <c r="F15" i="3"/>
  <c r="Z12" i="3"/>
  <c r="X12" i="3"/>
  <c r="V12" i="3"/>
  <c r="T12" i="3"/>
  <c r="R12" i="3"/>
  <c r="P12" i="3"/>
  <c r="N12" i="3"/>
  <c r="L12" i="3"/>
  <c r="J12" i="3"/>
  <c r="H12" i="3"/>
  <c r="F12" i="3"/>
  <c r="D15" i="3"/>
  <c r="D12" i="3"/>
  <c r="AO60" i="2"/>
  <c r="AO62" i="2" s="1"/>
  <c r="AO32" i="2"/>
  <c r="AO42" i="2" s="1"/>
  <c r="AO29" i="2"/>
  <c r="AO15" i="2"/>
  <c r="AK38" i="1"/>
  <c r="AH38" i="1"/>
  <c r="AE38" i="1"/>
  <c r="AB38" i="1"/>
  <c r="Y38" i="1"/>
  <c r="V38" i="1"/>
  <c r="S38" i="1"/>
  <c r="P38" i="1"/>
  <c r="M38" i="1"/>
  <c r="J38" i="1"/>
  <c r="G38" i="1"/>
  <c r="AN37" i="1"/>
  <c r="AN38" i="1" s="1"/>
  <c r="AM21" i="1"/>
  <c r="AM20" i="1"/>
  <c r="AM28" i="1"/>
  <c r="AM27" i="1"/>
  <c r="AM26" i="1"/>
  <c r="AN31" i="1"/>
  <c r="AN30" i="1"/>
  <c r="AN24" i="1"/>
  <c r="AN23" i="1"/>
  <c r="AN18" i="1"/>
  <c r="AN17" i="1"/>
  <c r="AN16" i="1"/>
  <c r="AN15" i="1"/>
  <c r="AN14" i="1"/>
  <c r="G32" i="1"/>
  <c r="G33" i="1" s="1"/>
  <c r="AK29" i="1"/>
  <c r="AH29" i="1"/>
  <c r="AE29" i="1"/>
  <c r="AB29" i="1"/>
  <c r="Y29" i="1"/>
  <c r="Y32" i="1" s="1"/>
  <c r="Y33" i="1" s="1"/>
  <c r="V29" i="1"/>
  <c r="V32" i="1" s="1"/>
  <c r="V33" i="1" s="1"/>
  <c r="S29" i="1"/>
  <c r="S32" i="1" s="1"/>
  <c r="S33" i="1" s="1"/>
  <c r="P29" i="1"/>
  <c r="P32" i="1" s="1"/>
  <c r="P33" i="1" s="1"/>
  <c r="M29" i="1"/>
  <c r="M32" i="1" s="1"/>
  <c r="M33" i="1" s="1"/>
  <c r="J29" i="1"/>
  <c r="G29" i="1"/>
  <c r="AK22" i="1"/>
  <c r="AK32" i="1" s="1"/>
  <c r="AK33" i="1" s="1"/>
  <c r="AH22" i="1"/>
  <c r="AH32" i="1" s="1"/>
  <c r="AH33" i="1" s="1"/>
  <c r="AE22" i="1"/>
  <c r="AE32" i="1" s="1"/>
  <c r="AE33" i="1" s="1"/>
  <c r="AB22" i="1"/>
  <c r="AB32" i="1" s="1"/>
  <c r="Y22" i="1"/>
  <c r="V22" i="1"/>
  <c r="S22" i="1"/>
  <c r="P22" i="1"/>
  <c r="M22" i="1"/>
  <c r="J22" i="1"/>
  <c r="J32" i="1" s="1"/>
  <c r="G22" i="1"/>
  <c r="AN10" i="1"/>
  <c r="AN11" i="1"/>
  <c r="AK12" i="1"/>
  <c r="AH12" i="1"/>
  <c r="AE12" i="1"/>
  <c r="AB12" i="1"/>
  <c r="Y12" i="1"/>
  <c r="V12" i="1"/>
  <c r="S12" i="1"/>
  <c r="P12" i="1"/>
  <c r="M12" i="1"/>
  <c r="AN12" i="1" s="1"/>
  <c r="J12" i="1"/>
  <c r="G12" i="1"/>
  <c r="AN9" i="1"/>
  <c r="D38" i="1"/>
  <c r="D29" i="1"/>
  <c r="D22" i="1"/>
  <c r="D32" i="1" s="1"/>
  <c r="D12" i="1"/>
  <c r="AO121" i="2" l="1"/>
  <c r="AO123" i="2" s="1"/>
  <c r="AO25" i="2"/>
  <c r="AO27" i="2" s="1"/>
  <c r="AO69" i="2"/>
  <c r="AO106" i="2" s="1"/>
  <c r="N105" i="2"/>
  <c r="N107" i="2" s="1"/>
  <c r="Q105" i="2"/>
  <c r="Q107" i="2" s="1"/>
  <c r="K105" i="2"/>
  <c r="K107" i="2" s="1"/>
  <c r="T16" i="4"/>
  <c r="T17" i="4" s="1"/>
  <c r="P16" i="4"/>
  <c r="P17" i="4" s="1"/>
  <c r="L16" i="4"/>
  <c r="L17" i="4" s="1"/>
  <c r="D28" i="4"/>
  <c r="D29" i="4" s="1"/>
  <c r="D35" i="4" s="1"/>
  <c r="F28" i="4"/>
  <c r="F29" i="4" s="1"/>
  <c r="F35" i="4" s="1"/>
  <c r="H105" i="2"/>
  <c r="H107" i="2" s="1"/>
  <c r="H28" i="4"/>
  <c r="H29" i="4" s="1"/>
  <c r="H35" i="4" s="1"/>
  <c r="R28" i="4"/>
  <c r="R29" i="4" s="1"/>
  <c r="R35" i="4" s="1"/>
  <c r="J28" i="4"/>
  <c r="J29" i="4" s="1"/>
  <c r="L28" i="4"/>
  <c r="L29" i="4" s="1"/>
  <c r="L35" i="4" s="1"/>
  <c r="N28" i="4"/>
  <c r="N29" i="4" s="1"/>
  <c r="N35" i="4" s="1"/>
  <c r="T28" i="4"/>
  <c r="T29" i="4" s="1"/>
  <c r="T35" i="4" s="1"/>
  <c r="V28" i="4"/>
  <c r="V29" i="4" s="1"/>
  <c r="V35" i="4" s="1"/>
  <c r="X28" i="4"/>
  <c r="X29" i="4" s="1"/>
  <c r="D16" i="4"/>
  <c r="D17" i="4" s="1"/>
  <c r="F16" i="4"/>
  <c r="F17" i="4" s="1"/>
  <c r="P35" i="4"/>
  <c r="X35" i="4"/>
  <c r="J35" i="4"/>
  <c r="Z35" i="4"/>
  <c r="Z35" i="3"/>
  <c r="X35" i="3"/>
  <c r="V35" i="3"/>
  <c r="T35" i="3"/>
  <c r="R35" i="3"/>
  <c r="P35" i="3"/>
  <c r="N35" i="3"/>
  <c r="L35" i="3"/>
  <c r="J35" i="3"/>
  <c r="H35" i="3"/>
  <c r="F35" i="3"/>
  <c r="D16" i="3"/>
  <c r="D17" i="3" s="1"/>
  <c r="N16" i="3"/>
  <c r="N17" i="3" s="1"/>
  <c r="P16" i="3"/>
  <c r="P17" i="3" s="1"/>
  <c r="F16" i="3"/>
  <c r="F17" i="3" s="1"/>
  <c r="H16" i="3"/>
  <c r="H17" i="3" s="1"/>
  <c r="J16" i="3"/>
  <c r="J17" i="3" s="1"/>
  <c r="L16" i="3"/>
  <c r="L17" i="3" s="1"/>
  <c r="R16" i="3"/>
  <c r="R17" i="3" s="1"/>
  <c r="T16" i="3"/>
  <c r="T17" i="3" s="1"/>
  <c r="V16" i="3"/>
  <c r="V17" i="3" s="1"/>
  <c r="X16" i="3"/>
  <c r="X17" i="3" s="1"/>
  <c r="Z16" i="3"/>
  <c r="Z17" i="3" s="1"/>
  <c r="T105" i="2"/>
  <c r="T107" i="2" s="1"/>
  <c r="W105" i="2"/>
  <c r="W107" i="2" s="1"/>
  <c r="Z105" i="2"/>
  <c r="Z107" i="2" s="1"/>
  <c r="AC105" i="2"/>
  <c r="AC107" i="2" s="1"/>
  <c r="AI105" i="2"/>
  <c r="AI107" i="2" s="1"/>
  <c r="AF105" i="2"/>
  <c r="AF107" i="2" s="1"/>
  <c r="AL105" i="2"/>
  <c r="AL107" i="2" s="1"/>
  <c r="AK39" i="1"/>
  <c r="AH39" i="1"/>
  <c r="AE39" i="1"/>
  <c r="AB33" i="1"/>
  <c r="AB39" i="1"/>
  <c r="Y39" i="1"/>
  <c r="V39" i="1"/>
  <c r="S39" i="1"/>
  <c r="P39" i="1"/>
  <c r="M39" i="1"/>
  <c r="AN29" i="1"/>
  <c r="J33" i="1"/>
  <c r="AN32" i="1"/>
  <c r="J39" i="1"/>
  <c r="AN33" i="1"/>
  <c r="AN39" i="1" s="1"/>
  <c r="AN22" i="1"/>
  <c r="G39" i="1"/>
  <c r="D33" i="1"/>
  <c r="D39" i="1" s="1"/>
  <c r="AO105" i="2" l="1"/>
  <c r="AO107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William Schafer</author>
    <author>Andrea Collins</author>
    <author>tc={B78FBEE4-6D98-47F1-9279-5196273E7D86}</author>
    <author>tc={2001E853-85FD-4436-93B2-DEC5B8003886}</author>
  </authors>
  <commentList>
    <comment ref="H12" authorId="0" shapeId="0" xr:uid="{5E3BB7A6-4322-4AC9-8D2B-D19220035BBA}">
      <text>
        <r>
          <rPr>
            <b/>
            <sz val="6"/>
            <color indexed="81"/>
            <rFont val="Tahoma"/>
            <family val="2"/>
          </rPr>
          <t>AC:</t>
        </r>
        <r>
          <rPr>
            <sz val="6"/>
            <color indexed="81"/>
            <rFont val="Tahoma"/>
            <family val="2"/>
          </rPr>
          <t xml:space="preserve"> Trans from RS WFAcct#7850 to Reimburse WS WF Acct#9826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W13" authorId="1" shapeId="0" xr:uid="{26E395AE-7DE9-4443-A6FE-DA68C21D9D8F}">
      <text>
        <r>
          <rPr>
            <b/>
            <sz val="9"/>
            <color indexed="81"/>
            <rFont val="Tahoma"/>
            <charset val="1"/>
          </rPr>
          <t>Andrea Collins:</t>
        </r>
        <r>
          <rPr>
            <sz val="9"/>
            <color indexed="81"/>
            <rFont val="Tahoma"/>
            <charset val="1"/>
          </rPr>
          <t xml:space="preserve">
Sold Ewing Cemetary Plot
</t>
        </r>
      </text>
    </comment>
    <comment ref="AF13" authorId="0" shapeId="0" xr:uid="{67EF2932-513D-4104-B78A-CE85C3DB1E4C}">
      <text>
        <r>
          <rPr>
            <b/>
            <sz val="9"/>
            <color indexed="81"/>
            <rFont val="Tahoma"/>
            <charset val="1"/>
          </rPr>
          <t xml:space="preserve">WS: </t>
        </r>
        <r>
          <rPr>
            <sz val="9"/>
            <color indexed="81"/>
            <rFont val="Tahoma"/>
            <family val="2"/>
          </rPr>
          <t>Tax Refund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E20" authorId="0" shapeId="0" xr:uid="{18586143-D3D9-4A72-B819-EDC59FC1F5A7}">
      <text>
        <r>
          <rPr>
            <b/>
            <sz val="6"/>
            <color indexed="81"/>
            <rFont val="Tahoma"/>
            <family val="2"/>
          </rPr>
          <t xml:space="preserve">AC: </t>
        </r>
        <r>
          <rPr>
            <sz val="6"/>
            <color indexed="81"/>
            <rFont val="Tahoma"/>
            <family val="2"/>
          </rPr>
          <t>from VV1 Business Cking 3952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20" authorId="0" shapeId="0" xr:uid="{F455B1A0-E75C-497E-8BF6-1EEB0FF564DA}">
      <text>
        <r>
          <rPr>
            <b/>
            <sz val="6"/>
            <color indexed="81"/>
            <rFont val="Tahoma"/>
            <family val="2"/>
          </rPr>
          <t xml:space="preserve">WS: </t>
        </r>
        <r>
          <rPr>
            <sz val="6"/>
            <color indexed="81"/>
            <rFont val="Tahoma"/>
            <family val="2"/>
          </rPr>
          <t>Increased rent from tenant-should have gone into 3952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AI20" authorId="0" shapeId="0" xr:uid="{96AA67F2-1D66-469E-B678-6133DCF21AC3}">
      <text>
        <r>
          <rPr>
            <b/>
            <sz val="6"/>
            <color indexed="81"/>
            <rFont val="Tahoma"/>
            <family val="2"/>
          </rPr>
          <t>AC:</t>
        </r>
        <r>
          <rPr>
            <sz val="6"/>
            <color indexed="81"/>
            <rFont val="Tahoma"/>
            <family val="2"/>
          </rPr>
          <t xml:space="preserve"> Reimbursement to WS-Came from WFAcct#5299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35" authorId="1" shapeId="0" xr:uid="{3A22D381-3B36-4A94-A35D-DDBFEB985149}">
      <text>
        <r>
          <rPr>
            <b/>
            <sz val="6"/>
            <color indexed="81"/>
            <rFont val="Tahoma"/>
            <family val="2"/>
          </rPr>
          <t>AC:</t>
        </r>
        <r>
          <rPr>
            <sz val="6"/>
            <color indexed="81"/>
            <rFont val="Tahoma"/>
            <family val="2"/>
          </rPr>
          <t xml:space="preserve">
Magazine Sub 1 yr The Week</t>
        </r>
      </text>
    </comment>
    <comment ref="D37" authorId="0" shapeId="0" xr:uid="{8EE0DBAD-8EA1-486D-8A5D-EC3E765AD241}">
      <text>
        <r>
          <rPr>
            <b/>
            <sz val="9"/>
            <color indexed="81"/>
            <rFont val="Tahoma"/>
            <family val="2"/>
          </rPr>
          <t xml:space="preserve">AC:
</t>
        </r>
        <r>
          <rPr>
            <sz val="6"/>
            <color indexed="81"/>
            <rFont val="Tahoma"/>
            <family val="2"/>
          </rPr>
          <t xml:space="preserve">Wheel Chair + Glasses
</t>
        </r>
      </text>
    </comment>
    <comment ref="P37" authorId="0" shapeId="0" xr:uid="{1C54AAE8-270F-44BA-8282-038A20902CCC}">
      <text>
        <r>
          <rPr>
            <b/>
            <sz val="6"/>
            <color indexed="81"/>
            <rFont val="Tahoma"/>
            <family val="2"/>
          </rPr>
          <t>AC:</t>
        </r>
        <r>
          <rPr>
            <sz val="6"/>
            <color indexed="81"/>
            <rFont val="Tahoma"/>
            <family val="2"/>
          </rPr>
          <t xml:space="preserve"> MD VIP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+Dentist</t>
        </r>
      </text>
    </comment>
    <comment ref="P40" authorId="0" shapeId="0" xr:uid="{FE5CCEB4-64B3-4215-86F3-9102333CB7C9}">
      <text>
        <r>
          <rPr>
            <b/>
            <sz val="6"/>
            <color indexed="81"/>
            <rFont val="Tahoma"/>
            <family val="2"/>
          </rPr>
          <t xml:space="preserve">AC:
</t>
        </r>
        <r>
          <rPr>
            <sz val="6"/>
            <color indexed="81"/>
            <rFont val="Tahoma"/>
            <family val="2"/>
          </rPr>
          <t xml:space="preserve">Aide Fee
</t>
        </r>
      </text>
    </comment>
    <comment ref="G41" authorId="0" shapeId="0" xr:uid="{28163320-2DCE-4444-8CFA-81079D6A532D}">
      <text>
        <r>
          <rPr>
            <b/>
            <sz val="6"/>
            <color indexed="81"/>
            <rFont val="Tahoma"/>
            <family val="2"/>
          </rPr>
          <t xml:space="preserve">AC: </t>
        </r>
        <r>
          <rPr>
            <sz val="6"/>
            <color indexed="81"/>
            <rFont val="Tahoma"/>
            <family val="2"/>
          </rPr>
          <t xml:space="preserve">HI Def - Ring Household
</t>
        </r>
      </text>
    </comment>
    <comment ref="V41" authorId="1" shapeId="0" xr:uid="{AAF6AE55-81EC-4A2E-8A3E-A3CCA49EBE4C}">
      <text>
        <r>
          <rPr>
            <b/>
            <sz val="9"/>
            <color indexed="81"/>
            <rFont val="Tahoma"/>
            <family val="2"/>
          </rPr>
          <t>AC:</t>
        </r>
        <r>
          <rPr>
            <sz val="8"/>
            <color indexed="81"/>
            <rFont val="Tahoma"/>
            <family val="2"/>
          </rPr>
          <t>Travelers Insurance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51" authorId="1" shapeId="0" xr:uid="{5BAF1C84-BBB6-4B99-A802-A335A8D22142}">
      <text>
        <r>
          <rPr>
            <b/>
            <sz val="6"/>
            <color indexed="81"/>
            <rFont val="Tahoma"/>
            <family val="2"/>
          </rPr>
          <t>AC:</t>
        </r>
        <r>
          <rPr>
            <sz val="6"/>
            <color indexed="81"/>
            <rFont val="Tahoma"/>
            <family val="2"/>
          </rPr>
          <t xml:space="preserve">
Derm bill from January visit - ACH
</t>
        </r>
      </text>
    </comment>
    <comment ref="E52" authorId="0" shapeId="0" xr:uid="{810A6A27-8FB4-4D65-9D01-164604DEE29B}">
      <text>
        <r>
          <rPr>
            <b/>
            <sz val="6"/>
            <color indexed="81"/>
            <rFont val="Tahoma"/>
            <family val="2"/>
          </rPr>
          <t xml:space="preserve">AC: </t>
        </r>
        <r>
          <rPr>
            <sz val="6"/>
            <color indexed="81"/>
            <rFont val="Tahoma"/>
            <family val="2"/>
          </rPr>
          <t xml:space="preserve">Aid for Florida - Sherryl Chin - Zelle maybe thru wscha97395
</t>
        </r>
      </text>
    </comment>
    <comment ref="H60" authorId="0" shapeId="0" xr:uid="{459369E4-D850-4708-A3F7-E7F616E289ED}">
      <text>
        <r>
          <rPr>
            <sz val="6"/>
            <color indexed="81"/>
            <rFont val="Tahoma"/>
            <family val="2"/>
          </rPr>
          <t>2-26-2025 Trans to WS's #9826 Acct for Asst Living / LTC Reimbursement</t>
        </r>
      </text>
    </comment>
    <comment ref="AF60" authorId="0" shapeId="0" xr:uid="{5A499CA5-B0D4-4D0C-B1A4-8D2B64519B6A}">
      <text>
        <r>
          <rPr>
            <sz val="6"/>
            <color indexed="81"/>
            <rFont val="Tahoma"/>
            <family val="2"/>
          </rPr>
          <t>2-26-2025 Trans to WS's #9826 Acct for Asst Living / LTC Reimbursement</t>
        </r>
      </text>
    </comment>
    <comment ref="E61" authorId="1" shapeId="0" xr:uid="{148A3D76-96F4-4EB0-AB93-4813B70F5D35}">
      <text>
        <r>
          <rPr>
            <b/>
            <sz val="6"/>
            <color indexed="81"/>
            <rFont val="Tahoma"/>
            <family val="2"/>
          </rPr>
          <t xml:space="preserve">AC: </t>
        </r>
        <r>
          <rPr>
            <sz val="6"/>
            <color indexed="81"/>
            <rFont val="Tahoma"/>
            <family val="2"/>
          </rPr>
          <t xml:space="preserve">serve pro cleaning Fwick-ach pymt
</t>
        </r>
      </text>
    </comment>
    <comment ref="H66" authorId="0" shapeId="0" xr:uid="{26134848-E2BC-4B4D-B3FB-273510045021}">
      <text>
        <r>
          <rPr>
            <sz val="6"/>
            <color indexed="81"/>
            <rFont val="Tahoma"/>
            <family val="2"/>
          </rPr>
          <t>1-24-25 Closed Acct to Reimburse WS for Assisted Living /LTC (Mass Mutal Annuity Check received in mail for $27,585.71 &amp; Deposited into WS Acct#9826 on 2-12-25)(the balance of 7850 was 2 Mutual funds totalling $23,982.96 &amp; this was moved to RS Acct#9553 on 2-11-25)</t>
        </r>
      </text>
    </comment>
    <comment ref="Y80" authorId="2" shapeId="0" xr:uid="{B78FBEE4-6D98-47F1-9279-5196273E7D86}">
      <text>
        <t>[Threaded comment]
Your version of Excel allows you to read this threaded comment; however, any edits to it will get removed if the file is opened in a newer version of Excel. Learn more: https://go.microsoft.com/fwlink/?linkid=870924
Comment:
    HOA + Renters fee $202.25</t>
      </text>
    </comment>
    <comment ref="Z80" authorId="0" shapeId="0" xr:uid="{B510C8ED-2600-43F7-ABE1-AC5BFF751145}">
      <text>
        <r>
          <rPr>
            <b/>
            <sz val="6"/>
            <color indexed="81"/>
            <rFont val="Tahoma"/>
            <family val="2"/>
          </rPr>
          <t xml:space="preserve">AC:  </t>
        </r>
        <r>
          <rPr>
            <sz val="6"/>
            <color indexed="81"/>
            <rFont val="Tahoma"/>
            <family val="2"/>
          </rPr>
          <t>HOA Renters Fee + Regular HOA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Z83" authorId="0" shapeId="0" xr:uid="{8AB9EDB4-8ADB-4A6B-99FD-50A44AF33AAD}">
      <text>
        <r>
          <rPr>
            <b/>
            <sz val="6"/>
            <color indexed="81"/>
            <rFont val="Tahoma"/>
            <family val="2"/>
          </rPr>
          <t>AC:</t>
        </r>
        <r>
          <rPr>
            <sz val="6"/>
            <color indexed="81"/>
            <rFont val="Tahoma"/>
            <family val="2"/>
          </rPr>
          <t xml:space="preserve"> Twsp Registration $50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85" authorId="3" shapeId="0" xr:uid="{2001E853-85FD-4436-93B2-DEC5B800388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Township Reg. $50
</t>
      </text>
    </comment>
    <comment ref="H89" authorId="0" shapeId="0" xr:uid="{87294081-A2A9-471B-88A3-95A92E5975E3}">
      <text>
        <r>
          <rPr>
            <b/>
            <sz val="6"/>
            <color indexed="81"/>
            <rFont val="Tahoma"/>
            <family val="2"/>
          </rPr>
          <t xml:space="preserve">AC: </t>
        </r>
        <r>
          <rPr>
            <sz val="6"/>
            <color indexed="81"/>
            <rFont val="Tahoma"/>
            <family val="2"/>
          </rPr>
          <t>Reimbursement to WS-Trans to RS WF#5777 + then to JS Chase + then to WS WF9826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I93" authorId="0" shapeId="0" xr:uid="{D6AC4CD1-1507-470B-9BEB-A633607D200B}">
      <text>
        <r>
          <rPr>
            <b/>
            <sz val="6"/>
            <color indexed="81"/>
            <rFont val="Tahoma"/>
            <family val="2"/>
          </rPr>
          <t xml:space="preserve">AC: </t>
        </r>
        <r>
          <rPr>
            <sz val="6"/>
            <color indexed="81"/>
            <rFont val="Tahoma"/>
            <family val="2"/>
          </rPr>
          <t>2024 Acctg Fees for Taxes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00" authorId="0" shapeId="0" xr:uid="{B82154E2-BB2E-4064-9B85-C4F52CC5B636}">
      <text>
        <r>
          <rPr>
            <sz val="6"/>
            <color indexed="81"/>
            <rFont val="Tahoma"/>
            <family val="2"/>
          </rPr>
          <t>On 1-14-25 $25,000 moved from 5777 to JS Chase#3711, then to WS Acct#9826 to reimburse WS for Assisted Living/LTC</t>
        </r>
      </text>
    </comment>
    <comment ref="E111" authorId="0" shapeId="0" xr:uid="{521E0349-23D4-4B6F-87A6-C64BDB71148D}">
      <text>
        <r>
          <rPr>
            <sz val="6"/>
            <color indexed="81"/>
            <rFont val="Tahoma"/>
            <family val="2"/>
          </rPr>
          <t>See NOTE for Acct 7850 Explaining Transfers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111" authorId="0" shapeId="0" xr:uid="{77208AAD-4C25-4C76-A87E-A01EBFC47FE2}">
      <text>
        <r>
          <rPr>
            <sz val="6"/>
            <color indexed="81"/>
            <rFont val="Tahoma"/>
            <family val="2"/>
          </rPr>
          <t>On 2-26-2025 $25,000.00 Transferred into WS Acct#9826</t>
        </r>
      </text>
    </comment>
    <comment ref="E113" authorId="0" shapeId="0" xr:uid="{CAB41525-9327-4A10-9710-47D807C00AF5}">
      <text>
        <r>
          <rPr>
            <sz val="6"/>
            <color indexed="81"/>
            <rFont val="Tahoma"/>
            <family val="2"/>
          </rPr>
          <t>O1-24-25 Closed Acct to Reimburse WS for Assisted Living /LTC (Mass Mutal Annuity Check received in mail for $27,585.71 &amp; Deposited into WS Acct#9826)(the balance of 7850 was 2 Mutual funds totalling $23,982.96 &amp; this was moved to RS Acct#9553 on 2-11-25)</t>
        </r>
      </text>
    </comment>
    <comment ref="H113" authorId="0" shapeId="0" xr:uid="{7E01EEBE-782E-4C9F-AA12-86BD6D58A787}">
      <text>
        <r>
          <rPr>
            <sz val="6"/>
            <color indexed="81"/>
            <rFont val="Tahoma"/>
            <family val="2"/>
          </rPr>
          <t xml:space="preserve">SEE NOTE from January for explanation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17" authorId="0" shapeId="0" xr:uid="{186A5537-1348-44CF-9763-F67D1FB8B27D}">
      <text>
        <r>
          <rPr>
            <sz val="6"/>
            <color indexed="81"/>
            <rFont val="Tahoma"/>
            <family val="2"/>
          </rPr>
          <t xml:space="preserve">On 1-14-25 $20,000.00 transferred into 5777 from 3952, &amp; then on 1-14-25 $25,000.00 was Transferred from RS 5777 to JS Chase 3711 to reimburse WS for Assisted Living/LTC
</t>
        </r>
      </text>
    </comment>
    <comment ref="E118" authorId="0" shapeId="0" xr:uid="{EFEC337F-F3D7-4AE3-BF64-9A6EEF0EC622}">
      <text>
        <r>
          <rPr>
            <sz val="6"/>
            <color indexed="81"/>
            <rFont val="Tahoma"/>
            <family val="2"/>
          </rPr>
          <t>On 1-14-2025 $20,000.00 Transferred to RS Main Trust Acct#5777</t>
        </r>
      </text>
    </comment>
  </commentList>
</comments>
</file>

<file path=xl/sharedStrings.xml><?xml version="1.0" encoding="utf-8"?>
<sst xmlns="http://schemas.openxmlformats.org/spreadsheetml/2006/main" count="268" uniqueCount="177">
  <si>
    <t>Ordinary Income/Expense</t>
  </si>
  <si>
    <t>Income</t>
  </si>
  <si>
    <t>Brokerage Income</t>
  </si>
  <si>
    <t>Long Term Care Reimburse</t>
  </si>
  <si>
    <t>Social Security</t>
  </si>
  <si>
    <t>Total Income</t>
  </si>
  <si>
    <t>Expense</t>
  </si>
  <si>
    <t>Bank Service Charges</t>
  </si>
  <si>
    <t>Clothing</t>
  </si>
  <si>
    <t>Dues and Subscriptions</t>
  </si>
  <si>
    <t>Household</t>
  </si>
  <si>
    <t>Insurance Expense</t>
  </si>
  <si>
    <t>Health</t>
  </si>
  <si>
    <t>Travel</t>
  </si>
  <si>
    <t>Total Insurance Expense</t>
  </si>
  <si>
    <t>Licenses &amp; Permits</t>
  </si>
  <si>
    <t>Meals and Entertainment</t>
  </si>
  <si>
    <t>Medical Bills</t>
  </si>
  <si>
    <t>Concierge</t>
  </si>
  <si>
    <t>Pharmacy</t>
  </si>
  <si>
    <t>Medical Bills - Other</t>
  </si>
  <si>
    <t>Total Medical Bills</t>
  </si>
  <si>
    <t>Personal Care</t>
  </si>
  <si>
    <t>Personal Cash Withdrawals</t>
  </si>
  <si>
    <t>Total Expense</t>
  </si>
  <si>
    <t>Net Ordinary Income</t>
  </si>
  <si>
    <t>Other Income/Expense</t>
  </si>
  <si>
    <t>Total Other Income</t>
  </si>
  <si>
    <t>Net Income</t>
  </si>
  <si>
    <t>Other Income</t>
  </si>
  <si>
    <t>Interest Income</t>
  </si>
  <si>
    <t>Rosemary Schafer</t>
  </si>
  <si>
    <t>January through December 2024</t>
  </si>
  <si>
    <t>Jan 2024</t>
  </si>
  <si>
    <t>Feb 2024</t>
  </si>
  <si>
    <t>Mar 2024</t>
  </si>
  <si>
    <t>Apr 2024</t>
  </si>
  <si>
    <t>May 2024</t>
  </si>
  <si>
    <t>Jun 2024</t>
  </si>
  <si>
    <t>Jul 2024</t>
  </si>
  <si>
    <t>Aug 2024</t>
  </si>
  <si>
    <t>Sep 2024</t>
  </si>
  <si>
    <t>Oct 2024</t>
  </si>
  <si>
    <t>Nov 2024</t>
  </si>
  <si>
    <t>Dec 2024</t>
  </si>
  <si>
    <t>TOTAL</t>
  </si>
  <si>
    <t>Profit &amp; Loss</t>
  </si>
  <si>
    <t>ASSETS</t>
  </si>
  <si>
    <t>WF Crown Classic 9553</t>
  </si>
  <si>
    <t>WF Prime Checking 9914</t>
  </si>
  <si>
    <t>Total Checking/Savings</t>
  </si>
  <si>
    <t>Total Other Current Assets</t>
  </si>
  <si>
    <t>Total Current Assets</t>
  </si>
  <si>
    <t>TOTAL ASSETS</t>
  </si>
  <si>
    <t>LIABILITIES &amp; EQUITY</t>
  </si>
  <si>
    <t>Liabilities</t>
  </si>
  <si>
    <t>Current Liabilities Credit Cards</t>
  </si>
  <si>
    <t>Credit Cards</t>
  </si>
  <si>
    <t>WF CC 6747</t>
  </si>
  <si>
    <t>Total Credit Cards</t>
  </si>
  <si>
    <t>Total Other Current Liabilities</t>
  </si>
  <si>
    <t>Total Current Liabilities</t>
  </si>
  <si>
    <t>Total Liabilities</t>
  </si>
  <si>
    <t>Total Equity</t>
  </si>
  <si>
    <t>TOTAL LIABILITIES &amp; EQUITY</t>
  </si>
  <si>
    <t xml:space="preserve">Other Current Assets </t>
  </si>
  <si>
    <t>WF Brokerage 7850</t>
  </si>
  <si>
    <t xml:space="preserve">Current Assets </t>
  </si>
  <si>
    <t>Checking/Savings</t>
  </si>
  <si>
    <t>WS Due to Due From</t>
  </si>
  <si>
    <t xml:space="preserve">Other Current Liabilities </t>
  </si>
  <si>
    <t>Owners Equity</t>
  </si>
  <si>
    <t>Equity</t>
  </si>
  <si>
    <t>Balance Sheet</t>
  </si>
  <si>
    <t>As of December 31, 2024</t>
  </si>
  <si>
    <t xml:space="preserve"> </t>
  </si>
  <si>
    <t>January through December 2025</t>
  </si>
  <si>
    <t xml:space="preserve">    9553  Long Term Care Reimb</t>
  </si>
  <si>
    <t xml:space="preserve">    9553  Social Security</t>
  </si>
  <si>
    <t xml:space="preserve">    9553  Interest</t>
  </si>
  <si>
    <t xml:space="preserve">    5777  Interest</t>
  </si>
  <si>
    <t xml:space="preserve">    9553  Other</t>
  </si>
  <si>
    <t>Closed 2-5-25</t>
  </si>
  <si>
    <t xml:space="preserve">    3952  VV1 Interest</t>
  </si>
  <si>
    <t xml:space="preserve">    3952  Rental Income</t>
  </si>
  <si>
    <t xml:space="preserve">    3952  VV1 Other</t>
  </si>
  <si>
    <t>TOTAL PERSONAL BALANCE</t>
  </si>
  <si>
    <t>STARTING BALANCES Jan 1, 2025</t>
  </si>
  <si>
    <t>PERSONAL BALANCES</t>
  </si>
  <si>
    <t>TRUST BALANCES</t>
  </si>
  <si>
    <t>TOTAL TRUST BALANCE</t>
  </si>
  <si>
    <r>
      <t xml:space="preserve">    9553  </t>
    </r>
    <r>
      <rPr>
        <sz val="8"/>
        <color theme="1"/>
        <rFont val="Aptos Narrow"/>
        <family val="2"/>
        <scheme val="minor"/>
      </rPr>
      <t xml:space="preserve"> (main Cking)</t>
    </r>
  </si>
  <si>
    <r>
      <t xml:space="preserve">    9914   </t>
    </r>
    <r>
      <rPr>
        <sz val="8"/>
        <color theme="1"/>
        <rFont val="Aptos Narrow"/>
        <family val="2"/>
        <scheme val="minor"/>
      </rPr>
      <t>(spec fees Cking)</t>
    </r>
  </si>
  <si>
    <r>
      <t xml:space="preserve">    5777 </t>
    </r>
    <r>
      <rPr>
        <sz val="8"/>
        <color theme="1"/>
        <rFont val="Aptos Narrow"/>
        <family val="2"/>
        <scheme val="minor"/>
      </rPr>
      <t xml:space="preserve">   (main Cking)</t>
    </r>
  </si>
  <si>
    <r>
      <t xml:space="preserve">    3952   </t>
    </r>
    <r>
      <rPr>
        <sz val="8"/>
        <color theme="1"/>
        <rFont val="Aptos Narrow"/>
        <family val="2"/>
        <scheme val="minor"/>
      </rPr>
      <t>(VV1 main cking)</t>
    </r>
  </si>
  <si>
    <r>
      <t xml:space="preserve">    6121   </t>
    </r>
    <r>
      <rPr>
        <sz val="8"/>
        <color theme="1"/>
        <rFont val="Aptos Narrow"/>
        <family val="2"/>
        <scheme val="minor"/>
      </rPr>
      <t>(VV1 sec deposit)</t>
    </r>
  </si>
  <si>
    <r>
      <t xml:space="preserve">    5299   </t>
    </r>
    <r>
      <rPr>
        <sz val="8"/>
        <color theme="1"/>
        <rFont val="Aptos Narrow"/>
        <family val="2"/>
        <scheme val="minor"/>
      </rPr>
      <t>(brokerage)</t>
    </r>
  </si>
  <si>
    <r>
      <t xml:space="preserve">   7850    </t>
    </r>
    <r>
      <rPr>
        <sz val="8"/>
        <color theme="1"/>
        <rFont val="Aptos Narrow"/>
        <family val="2"/>
        <scheme val="minor"/>
      </rPr>
      <t>(brokerage)</t>
    </r>
  </si>
  <si>
    <t xml:space="preserve">    5299  Brokerage</t>
  </si>
  <si>
    <t>INCOME  -  PERSONAL</t>
  </si>
  <si>
    <t>INCOME  -  TRUST</t>
  </si>
  <si>
    <t xml:space="preserve">              </t>
  </si>
  <si>
    <t>MEDICAL</t>
  </si>
  <si>
    <t>INSURANCE</t>
  </si>
  <si>
    <t>GENERAL</t>
  </si>
  <si>
    <t xml:space="preserve">    </t>
  </si>
  <si>
    <t>PROFESSIONAL</t>
  </si>
  <si>
    <t xml:space="preserve">       HomeOwners</t>
  </si>
  <si>
    <t xml:space="preserve">       Accountant</t>
  </si>
  <si>
    <t xml:space="preserve">       Bookkeeper</t>
  </si>
  <si>
    <t xml:space="preserve">       Legal</t>
  </si>
  <si>
    <t>TOTAL PERSONAL INCOME</t>
  </si>
  <si>
    <t>TOTAL TRUST INCOME</t>
  </si>
  <si>
    <t>PROFESSIONAL - VV1</t>
  </si>
  <si>
    <t>5777 Main Cking</t>
  </si>
  <si>
    <t xml:space="preserve">       Assisted Living/LTC Reimbursement</t>
  </si>
  <si>
    <t>Closed 2-5-2025</t>
  </si>
  <si>
    <t xml:space="preserve">     </t>
  </si>
  <si>
    <t>NET INCOME</t>
  </si>
  <si>
    <t>TOTAL PERSONAL EXPENSES</t>
  </si>
  <si>
    <t>TOTAL TRUST EXPENSES</t>
  </si>
  <si>
    <r>
      <rPr>
        <b/>
        <sz val="18"/>
        <color theme="1"/>
        <rFont val="Aptos Narrow"/>
        <family val="2"/>
        <scheme val="minor"/>
      </rPr>
      <t xml:space="preserve">TOTAL BALANCE                 </t>
    </r>
    <r>
      <rPr>
        <b/>
        <sz val="8"/>
        <color theme="1"/>
        <rFont val="Aptos Narrow"/>
        <family val="2"/>
        <scheme val="minor"/>
      </rPr>
      <t>(PERSONAL &amp; TRUST)</t>
    </r>
  </si>
  <si>
    <r>
      <rPr>
        <b/>
        <sz val="16"/>
        <color theme="1"/>
        <rFont val="Aptos Narrow"/>
        <family val="2"/>
        <scheme val="minor"/>
      </rPr>
      <t xml:space="preserve">INCOME - TOTAL            </t>
    </r>
    <r>
      <rPr>
        <b/>
        <sz val="10"/>
        <color theme="1"/>
        <rFont val="Aptos Narrow"/>
        <family val="2"/>
        <scheme val="minor"/>
      </rPr>
      <t xml:space="preserve">                 (</t>
    </r>
    <r>
      <rPr>
        <b/>
        <sz val="8"/>
        <color theme="1"/>
        <rFont val="Aptos Narrow"/>
        <family val="2"/>
        <scheme val="minor"/>
      </rPr>
      <t>PERSONAL &amp; TRUST)</t>
    </r>
  </si>
  <si>
    <t>EXPENSES  -  PERSONAL</t>
  </si>
  <si>
    <t>EXPENSES  -  TRUST</t>
  </si>
  <si>
    <t xml:space="preserve">  Visa  Clothing</t>
  </si>
  <si>
    <t xml:space="preserve">      Visa Meals/Entertainment</t>
  </si>
  <si>
    <t>Visa Hair &amp; Nails</t>
  </si>
  <si>
    <r>
      <t xml:space="preserve">    9914 Interest </t>
    </r>
    <r>
      <rPr>
        <sz val="10"/>
        <color theme="1"/>
        <rFont val="Aptos Narrow"/>
        <family val="2"/>
        <scheme val="minor"/>
      </rPr>
      <t>(closed Acct in 2025)</t>
    </r>
  </si>
  <si>
    <r>
      <t xml:space="preserve">    7850  Brokerage  </t>
    </r>
    <r>
      <rPr>
        <sz val="10"/>
        <color theme="1"/>
        <rFont val="Aptos Narrow"/>
        <family val="2"/>
        <scheme val="minor"/>
      </rPr>
      <t>(closed Acct in 2025)</t>
    </r>
  </si>
  <si>
    <t>Add info from Yale - AC TO ADD 2-6-2026</t>
  </si>
  <si>
    <t>Visa Personal Supplies</t>
  </si>
  <si>
    <t>Other</t>
  </si>
  <si>
    <t xml:space="preserve">       Blue Cross - Blue Shield</t>
  </si>
  <si>
    <t>Visa Aide</t>
  </si>
  <si>
    <t>Visa Medical</t>
  </si>
  <si>
    <t>Visa Pharmacy/Medication</t>
  </si>
  <si>
    <t xml:space="preserve">       VISA CC</t>
  </si>
  <si>
    <t>OTHER</t>
  </si>
  <si>
    <t xml:space="preserve">         Pharmacy</t>
  </si>
  <si>
    <t xml:space="preserve">         Medical Bills - Other</t>
  </si>
  <si>
    <t xml:space="preserve">        Asst Living/LTC Reimbursement</t>
  </si>
  <si>
    <t xml:space="preserve">       Other</t>
  </si>
  <si>
    <r>
      <t xml:space="preserve">7850 </t>
    </r>
    <r>
      <rPr>
        <sz val="10"/>
        <color theme="1"/>
        <rFont val="Aptos Narrow"/>
        <family val="2"/>
        <scheme val="minor"/>
      </rPr>
      <t>(Closed in 2025)</t>
    </r>
  </si>
  <si>
    <t>TOTAL PERSONAL GENERAL</t>
  </si>
  <si>
    <t>TOTAL PERSONAL INSURANCE</t>
  </si>
  <si>
    <t>TOTAL PERSONAL MEDICAL</t>
  </si>
  <si>
    <t>TOTAL PERSONAL PROFESSIONAL</t>
  </si>
  <si>
    <t>3952 VV1 CHECKING</t>
  </si>
  <si>
    <t>TOTAL TRUST GENERAL</t>
  </si>
  <si>
    <t>TOTAL TRUST PROFESSIONAL</t>
  </si>
  <si>
    <t>Visa Repair + Maintenance</t>
  </si>
  <si>
    <t>TOTAL PERSONAL VISA</t>
  </si>
  <si>
    <t xml:space="preserve">       VISA 0170</t>
  </si>
  <si>
    <t>OPERATING EXPENSES</t>
  </si>
  <si>
    <t>TOTAL TRUST OPERATING EXPENSES</t>
  </si>
  <si>
    <t xml:space="preserve">       Reimbursement to WS for LTC</t>
  </si>
  <si>
    <t>TOTAL TRUST OTHER</t>
  </si>
  <si>
    <t>TOTAL TRUST VISA</t>
  </si>
  <si>
    <t xml:space="preserve">           HOA</t>
  </si>
  <si>
    <t xml:space="preserve">          NJGov LLC Registration</t>
  </si>
  <si>
    <t xml:space="preserve">   Utilities</t>
  </si>
  <si>
    <t xml:space="preserve">   Taxes </t>
  </si>
  <si>
    <t xml:space="preserve">    5777 Other</t>
  </si>
  <si>
    <t xml:space="preserve">    Insurance</t>
  </si>
  <si>
    <t xml:space="preserve">  Township</t>
  </si>
  <si>
    <t>COMPLETED AND CHECKED WITH WS AND AC 2-6-2026</t>
  </si>
  <si>
    <r>
      <t xml:space="preserve">INCOME - TOTAL </t>
    </r>
    <r>
      <rPr>
        <b/>
        <sz val="9"/>
        <color theme="1"/>
        <rFont val="Aptos Narrow"/>
        <family val="2"/>
        <scheme val="minor"/>
      </rPr>
      <t>(PERSONAL &amp; TRUST)</t>
    </r>
  </si>
  <si>
    <r>
      <t xml:space="preserve">EXPENSE - TOTAL </t>
    </r>
    <r>
      <rPr>
        <b/>
        <sz val="9"/>
        <color theme="1"/>
        <rFont val="Aptos Narrow"/>
        <family val="2"/>
        <scheme val="minor"/>
      </rPr>
      <t>(PERSONAL &amp; TRUST)</t>
    </r>
  </si>
  <si>
    <t>WS+AC UPDATED 3952+5777 - AC TO CHECK +UPDATE 5299</t>
  </si>
  <si>
    <t xml:space="preserve">   9553 LTC Reimbursement to WS</t>
  </si>
  <si>
    <t>9553 completed by AC+WS 2-6-26</t>
  </si>
  <si>
    <t xml:space="preserve">         Aide Help</t>
  </si>
  <si>
    <t>WS COMPLETED 2-6-2026</t>
  </si>
  <si>
    <t>2-6-25 AC TO UPDATE ONCE YALE GETS HER INFO</t>
  </si>
  <si>
    <t>WS COMPLETED 2-6-26</t>
  </si>
  <si>
    <t>2-6-26 AC to fill in balances once Yale sends statements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</si>
</sst>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3" formatCode="_(* #,##0.00_);_(* \(#,##0.00\);_(* &quot;-&quot;??_);_(@_)"/>
  </numFmts>
  <fonts count="2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8"/>
      <name val="Aptos Narrow"/>
      <family val="2"/>
      <scheme val="minor"/>
    </font>
    <font>
      <u val="singleAccounting"/>
      <sz val="10"/>
      <color theme="1"/>
      <name val="Aptos Narrow"/>
      <family val="2"/>
      <scheme val="minor"/>
    </font>
    <font>
      <sz val="8"/>
      <color rgb="FFFF0000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6"/>
      <color indexed="81"/>
      <name val="Tahoma"/>
      <family val="2"/>
    </font>
    <font>
      <sz val="10"/>
      <color rgb="FFFF0000"/>
      <name val="Aptos Narrow"/>
      <family val="2"/>
      <scheme val="minor"/>
    </font>
    <font>
      <b/>
      <sz val="10"/>
      <color rgb="FFFF0000"/>
      <name val="Aptos Narrow"/>
      <family val="2"/>
      <scheme val="minor"/>
    </font>
    <font>
      <sz val="9"/>
      <color indexed="81"/>
      <name val="Tahoma"/>
      <family val="2"/>
    </font>
    <font>
      <sz val="6"/>
      <color rgb="FFFF0000"/>
      <name val="Aptos Narrow"/>
      <family val="2"/>
      <scheme val="minor"/>
    </font>
    <font>
      <b/>
      <sz val="18"/>
      <color rgb="FFFF000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0"/>
      <name val="Aptos Narrow"/>
      <family val="2"/>
      <scheme val="minor"/>
    </font>
    <font>
      <b/>
      <sz val="9"/>
      <color indexed="81"/>
      <name val="Tahoma"/>
      <family val="2"/>
    </font>
    <font>
      <b/>
      <sz val="6"/>
      <color indexed="81"/>
      <name val="Tahoma"/>
      <family val="2"/>
    </font>
    <font>
      <sz val="14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8"/>
      <color indexed="8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7">
    <xf numFmtId="0" fontId="0" fillId="0" borderId="0" xfId="0"/>
    <xf numFmtId="0" fontId="2" fillId="0" borderId="0" xfId="0" applyFont="1"/>
    <xf numFmtId="43" fontId="2" fillId="0" borderId="0" xfId="1" applyFont="1"/>
    <xf numFmtId="43" fontId="2" fillId="0" borderId="1" xfId="1" applyFont="1" applyBorder="1"/>
    <xf numFmtId="43" fontId="2" fillId="0" borderId="2" xfId="1" applyFont="1" applyBorder="1"/>
    <xf numFmtId="43" fontId="2" fillId="0" borderId="3" xfId="1" applyFont="1" applyBorder="1"/>
    <xf numFmtId="43" fontId="2" fillId="2" borderId="0" xfId="1" applyFont="1" applyFill="1"/>
    <xf numFmtId="43" fontId="2" fillId="2" borderId="1" xfId="1" applyFont="1" applyFill="1" applyBorder="1"/>
    <xf numFmtId="0" fontId="3" fillId="0" borderId="0" xfId="0" applyFont="1"/>
    <xf numFmtId="0" fontId="3" fillId="0" borderId="0" xfId="0" applyFont="1" applyAlignment="1">
      <alignment horizontal="left" indent="1"/>
    </xf>
    <xf numFmtId="0" fontId="3" fillId="0" borderId="0" xfId="0" applyFont="1" applyAlignment="1">
      <alignment horizontal="left" indent="2"/>
    </xf>
    <xf numFmtId="0" fontId="3" fillId="0" borderId="0" xfId="0" applyFont="1" applyAlignment="1">
      <alignment horizontal="left" indent="3"/>
    </xf>
    <xf numFmtId="43" fontId="2" fillId="0" borderId="0" xfId="1" applyFont="1" applyFill="1"/>
    <xf numFmtId="43" fontId="2" fillId="0" borderId="1" xfId="1" applyFont="1" applyFill="1" applyBorder="1"/>
    <xf numFmtId="43" fontId="2" fillId="0" borderId="2" xfId="1" applyFont="1" applyFill="1" applyBorder="1"/>
    <xf numFmtId="43" fontId="2" fillId="0" borderId="3" xfId="1" applyFont="1" applyFill="1" applyBorder="1"/>
    <xf numFmtId="43" fontId="3" fillId="0" borderId="4" xfId="1" applyFont="1" applyBorder="1"/>
    <xf numFmtId="43" fontId="3" fillId="0" borderId="0" xfId="1" applyFont="1"/>
    <xf numFmtId="43" fontId="3" fillId="0" borderId="4" xfId="1" applyFont="1" applyFill="1" applyBorder="1"/>
    <xf numFmtId="0" fontId="4" fillId="0" borderId="0" xfId="0" applyFont="1"/>
    <xf numFmtId="0" fontId="3" fillId="0" borderId="0" xfId="0" applyFont="1" applyAlignment="1">
      <alignment horizontal="left" indent="4"/>
    </xf>
    <xf numFmtId="43" fontId="6" fillId="0" borderId="0" xfId="1" applyFont="1"/>
    <xf numFmtId="43" fontId="6" fillId="2" borderId="0" xfId="1" applyFont="1" applyFill="1"/>
    <xf numFmtId="0" fontId="3" fillId="0" borderId="0" xfId="0" applyFont="1" applyAlignment="1">
      <alignment horizontal="center"/>
    </xf>
    <xf numFmtId="43" fontId="3" fillId="0" borderId="3" xfId="1" applyFont="1" applyBorder="1"/>
    <xf numFmtId="43" fontId="2" fillId="0" borderId="0" xfId="1" applyFont="1" applyBorder="1"/>
    <xf numFmtId="43" fontId="2" fillId="0" borderId="0" xfId="1" applyFont="1" applyFill="1" applyBorder="1"/>
    <xf numFmtId="43" fontId="2" fillId="0" borderId="5" xfId="1" applyFont="1" applyBorder="1"/>
    <xf numFmtId="0" fontId="2" fillId="0" borderId="5" xfId="0" applyFont="1" applyBorder="1"/>
    <xf numFmtId="43" fontId="2" fillId="0" borderId="5" xfId="1" applyFont="1" applyFill="1" applyBorder="1"/>
    <xf numFmtId="0" fontId="3" fillId="0" borderId="0" xfId="0" applyFont="1" applyAlignment="1">
      <alignment horizontal="right"/>
    </xf>
    <xf numFmtId="17" fontId="8" fillId="0" borderId="1" xfId="0" applyNumberFormat="1" applyFont="1" applyBorder="1" applyAlignment="1">
      <alignment horizontal="left" wrapText="1"/>
    </xf>
    <xf numFmtId="0" fontId="3" fillId="3" borderId="0" xfId="0" applyFont="1" applyFill="1" applyAlignment="1">
      <alignment horizontal="left" indent="1"/>
    </xf>
    <xf numFmtId="0" fontId="3" fillId="4" borderId="0" xfId="0" applyFont="1" applyFill="1" applyAlignment="1">
      <alignment horizontal="left" indent="2"/>
    </xf>
    <xf numFmtId="0" fontId="3" fillId="4" borderId="5" xfId="0" applyFont="1" applyFill="1" applyBorder="1" applyAlignment="1">
      <alignment horizontal="left" indent="2"/>
    </xf>
    <xf numFmtId="43" fontId="2" fillId="3" borderId="0" xfId="1" applyFont="1" applyFill="1"/>
    <xf numFmtId="43" fontId="2" fillId="4" borderId="0" xfId="1" applyFont="1" applyFill="1" applyBorder="1"/>
    <xf numFmtId="43" fontId="2" fillId="4" borderId="0" xfId="1" applyFont="1" applyFill="1"/>
    <xf numFmtId="43" fontId="2" fillId="4" borderId="5" xfId="1" applyFont="1" applyFill="1" applyBorder="1"/>
    <xf numFmtId="43" fontId="7" fillId="4" borderId="5" xfId="1" applyFont="1" applyFill="1" applyBorder="1"/>
    <xf numFmtId="0" fontId="3" fillId="5" borderId="0" xfId="0" applyFont="1" applyFill="1" applyAlignment="1">
      <alignment horizontal="center"/>
    </xf>
    <xf numFmtId="0" fontId="3" fillId="6" borderId="0" xfId="0" applyFont="1" applyFill="1"/>
    <xf numFmtId="0" fontId="3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0" fontId="3" fillId="4" borderId="0" xfId="0" applyFont="1" applyFill="1" applyAlignment="1">
      <alignment horizontal="right"/>
    </xf>
    <xf numFmtId="0" fontId="3" fillId="8" borderId="0" xfId="0" applyFont="1" applyFill="1"/>
    <xf numFmtId="0" fontId="3" fillId="9" borderId="0" xfId="0" applyFont="1" applyFill="1" applyAlignment="1">
      <alignment horizontal="left" indent="2"/>
    </xf>
    <xf numFmtId="0" fontId="3" fillId="9" borderId="5" xfId="0" applyFont="1" applyFill="1" applyBorder="1" applyAlignment="1">
      <alignment horizontal="left" indent="2"/>
    </xf>
    <xf numFmtId="0" fontId="3" fillId="9" borderId="0" xfId="0" applyFont="1" applyFill="1" applyAlignment="1">
      <alignment horizontal="right"/>
    </xf>
    <xf numFmtId="43" fontId="2" fillId="9" borderId="0" xfId="1" applyFont="1" applyFill="1" applyBorder="1"/>
    <xf numFmtId="43" fontId="2" fillId="9" borderId="5" xfId="1" applyFont="1" applyFill="1" applyBorder="1"/>
    <xf numFmtId="43" fontId="7" fillId="9" borderId="5" xfId="1" applyFont="1" applyFill="1" applyBorder="1"/>
    <xf numFmtId="43" fontId="3" fillId="0" borderId="0" xfId="1" applyFont="1" applyBorder="1"/>
    <xf numFmtId="43" fontId="3" fillId="0" borderId="0" xfId="1" applyFont="1" applyFill="1" applyBorder="1"/>
    <xf numFmtId="43" fontId="2" fillId="6" borderId="0" xfId="1" applyFont="1" applyFill="1" applyBorder="1"/>
    <xf numFmtId="43" fontId="2" fillId="6" borderId="0" xfId="1" applyFont="1" applyFill="1"/>
    <xf numFmtId="43" fontId="7" fillId="4" borderId="0" xfId="1" applyFont="1" applyFill="1" applyBorder="1"/>
    <xf numFmtId="0" fontId="11" fillId="0" borderId="0" xfId="0" applyFont="1"/>
    <xf numFmtId="43" fontId="11" fillId="0" borderId="0" xfId="1" applyFont="1"/>
    <xf numFmtId="43" fontId="12" fillId="0" borderId="0" xfId="1" applyFont="1"/>
    <xf numFmtId="43" fontId="14" fillId="0" borderId="0" xfId="1" applyFont="1" applyBorder="1" applyAlignment="1">
      <alignment horizontal="left"/>
    </xf>
    <xf numFmtId="43" fontId="14" fillId="0" borderId="5" xfId="1" applyFont="1" applyBorder="1"/>
    <xf numFmtId="43" fontId="15" fillId="0" borderId="0" xfId="1" applyFont="1"/>
    <xf numFmtId="0" fontId="12" fillId="0" borderId="0" xfId="0" applyFont="1"/>
    <xf numFmtId="0" fontId="3" fillId="6" borderId="0" xfId="0" applyFont="1" applyFill="1" applyAlignment="1">
      <alignment horizontal="right" indent="1"/>
    </xf>
    <xf numFmtId="0" fontId="3" fillId="6" borderId="5" xfId="0" applyFont="1" applyFill="1" applyBorder="1" applyAlignment="1">
      <alignment horizontal="left"/>
    </xf>
    <xf numFmtId="43" fontId="2" fillId="6" borderId="5" xfId="1" applyFont="1" applyFill="1" applyBorder="1"/>
    <xf numFmtId="0" fontId="3" fillId="8" borderId="0" xfId="0" applyFont="1" applyFill="1" applyAlignment="1">
      <alignment wrapText="1"/>
    </xf>
    <xf numFmtId="0" fontId="3" fillId="3" borderId="0" xfId="0" applyFont="1" applyFill="1" applyAlignment="1">
      <alignment horizontal="left" wrapText="1" indent="1"/>
    </xf>
    <xf numFmtId="0" fontId="17" fillId="7" borderId="0" xfId="0" applyFont="1" applyFill="1" applyAlignment="1">
      <alignment horizontal="left"/>
    </xf>
    <xf numFmtId="4" fontId="2" fillId="0" borderId="0" xfId="0" applyNumberFormat="1" applyFont="1"/>
    <xf numFmtId="8" fontId="11" fillId="0" borderId="0" xfId="0" applyNumberFormat="1" applyFont="1"/>
    <xf numFmtId="0" fontId="2" fillId="6" borderId="0" xfId="0" applyFont="1" applyFill="1" applyAlignment="1">
      <alignment horizontal="right"/>
    </xf>
    <xf numFmtId="43" fontId="20" fillId="6" borderId="0" xfId="1" applyFont="1" applyFill="1" applyBorder="1"/>
    <xf numFmtId="0" fontId="3" fillId="6" borderId="0" xfId="0" applyFont="1" applyFill="1" applyAlignment="1">
      <alignment horizontal="left" indent="2"/>
    </xf>
    <xf numFmtId="43" fontId="11" fillId="0" borderId="0" xfId="1" applyFont="1" applyBorder="1"/>
    <xf numFmtId="43" fontId="2" fillId="0" borderId="0" xfId="1" applyFont="1" applyBorder="1" applyAlignment="1">
      <alignment horizontal="right"/>
    </xf>
    <xf numFmtId="0" fontId="3" fillId="6" borderId="5" xfId="0" applyFont="1" applyFill="1" applyBorder="1"/>
    <xf numFmtId="0" fontId="11" fillId="0" borderId="5" xfId="0" applyFont="1" applyBorder="1"/>
    <xf numFmtId="0" fontId="12" fillId="0" borderId="5" xfId="0" applyFont="1" applyBorder="1"/>
    <xf numFmtId="0" fontId="2" fillId="6" borderId="5" xfId="0" applyFont="1" applyFill="1" applyBorder="1" applyAlignment="1">
      <alignment horizontal="right"/>
    </xf>
    <xf numFmtId="4" fontId="2" fillId="0" borderId="5" xfId="0" applyNumberFormat="1" applyFont="1" applyBorder="1"/>
    <xf numFmtId="0" fontId="3" fillId="6" borderId="5" xfId="0" applyFont="1" applyFill="1" applyBorder="1" applyAlignment="1">
      <alignment horizontal="left" indent="2"/>
    </xf>
    <xf numFmtId="43" fontId="2" fillId="7" borderId="0" xfId="1" applyFont="1" applyFill="1" applyBorder="1"/>
    <xf numFmtId="0" fontId="2" fillId="4" borderId="0" xfId="0" applyFont="1" applyFill="1"/>
    <xf numFmtId="43" fontId="2" fillId="7" borderId="0" xfId="1" applyFont="1" applyFill="1"/>
    <xf numFmtId="0" fontId="2" fillId="7" borderId="0" xfId="0" applyFont="1" applyFill="1"/>
    <xf numFmtId="0" fontId="17" fillId="7" borderId="0" xfId="0" applyFont="1" applyFill="1"/>
    <xf numFmtId="0" fontId="17" fillId="3" borderId="0" xfId="0" applyFont="1" applyFill="1"/>
    <xf numFmtId="43" fontId="23" fillId="0" borderId="0" xfId="1" applyFont="1" applyBorder="1"/>
    <xf numFmtId="43" fontId="23" fillId="0" borderId="0" xfId="1" applyFont="1" applyFill="1" applyBorder="1"/>
    <xf numFmtId="43" fontId="23" fillId="3" borderId="0" xfId="1" applyFont="1" applyFill="1" applyBorder="1"/>
    <xf numFmtId="0" fontId="17" fillId="5" borderId="5" xfId="0" applyFont="1" applyFill="1" applyBorder="1" applyAlignment="1">
      <alignment horizontal="left"/>
    </xf>
    <xf numFmtId="43" fontId="23" fillId="0" borderId="5" xfId="1" applyFont="1" applyBorder="1"/>
    <xf numFmtId="43" fontId="23" fillId="0" borderId="5" xfId="1" applyFont="1" applyFill="1" applyBorder="1"/>
    <xf numFmtId="43" fontId="23" fillId="5" borderId="5" xfId="1" applyFont="1" applyFill="1" applyBorder="1"/>
    <xf numFmtId="0" fontId="23" fillId="0" borderId="5" xfId="0" applyFont="1" applyBorder="1"/>
    <xf numFmtId="0" fontId="17" fillId="10" borderId="0" xfId="0" applyFont="1" applyFill="1"/>
    <xf numFmtId="43" fontId="17" fillId="0" borderId="0" xfId="1" applyFont="1" applyBorder="1"/>
    <xf numFmtId="43" fontId="17" fillId="0" borderId="0" xfId="1" applyFont="1" applyFill="1" applyBorder="1"/>
    <xf numFmtId="43" fontId="17" fillId="10" borderId="0" xfId="1" applyFont="1" applyFill="1" applyBorder="1"/>
    <xf numFmtId="43" fontId="12" fillId="0" borderId="0" xfId="1" applyFont="1" applyAlignment="1">
      <alignment horizontal="left"/>
    </xf>
    <xf numFmtId="0" fontId="23" fillId="0" borderId="0" xfId="0" applyFont="1"/>
    <xf numFmtId="0" fontId="17" fillId="0" borderId="0" xfId="0" applyFont="1"/>
    <xf numFmtId="43" fontId="3" fillId="8" borderId="0" xfId="0" applyNumberFormat="1" applyFont="1" applyFill="1" applyAlignment="1">
      <alignment wrapText="1"/>
    </xf>
    <xf numFmtId="17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ndrea Collins" id="{9868EBF2-6F3C-4389-BFCA-D3B912864889}" userId="9d03bd01834880df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Y80" dT="2025-10-22T20:27:46.10" personId="{9868EBF2-6F3C-4389-BFCA-D3B912864889}" id="{B78FBEE4-6D98-47F1-9279-5196273E7D86}">
    <text>HOA + Renters fee $202.25</text>
  </threadedComment>
  <threadedComment ref="Y85" dT="2025-10-22T20:29:08.78" personId="{9868EBF2-6F3C-4389-BFCA-D3B912864889}" id="{2001E853-85FD-4436-93B2-DEC5B8003886}">
    <text xml:space="preserve">Township Reg. $50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D3151-87BD-42A2-AF4C-BD69C6A094C0}">
  <dimension ref="A2:AP141"/>
  <sheetViews>
    <sheetView tabSelected="1" zoomScaleNormal="100" workbookViewId="0">
      <pane xSplit="2" ySplit="6" topLeftCell="C114" activePane="bottomRight" state="frozen"/>
      <selection pane="topRight" activeCell="C1" sqref="C1"/>
      <selection pane="bottomLeft" activeCell="A7" sqref="A7"/>
      <selection pane="bottomRight" activeCell="Q4" sqref="Q4"/>
    </sheetView>
  </sheetViews>
  <sheetFormatPr defaultColWidth="9.36328125" defaultRowHeight="13" x14ac:dyDescent="0.3"/>
  <cols>
    <col min="1" max="1" width="2.36328125" style="1" customWidth="1"/>
    <col min="2" max="2" width="33.453125" style="1" customWidth="1"/>
    <col min="3" max="3" width="6.90625" style="1" customWidth="1"/>
    <col min="4" max="4" width="8.1796875" style="1" customWidth="1"/>
    <col min="5" max="5" width="16.90625" style="1" bestFit="1" customWidth="1"/>
    <col min="6" max="6" width="1.54296875" style="1" customWidth="1"/>
    <col min="7" max="7" width="8.54296875" style="1" customWidth="1"/>
    <col min="8" max="8" width="18.08984375" style="1" bestFit="1" customWidth="1"/>
    <col min="9" max="9" width="1.54296875" style="1" customWidth="1"/>
    <col min="10" max="10" width="7.90625" style="1" customWidth="1"/>
    <col min="11" max="11" width="16.90625" style="1" bestFit="1" customWidth="1"/>
    <col min="12" max="12" width="1.54296875" style="1" customWidth="1"/>
    <col min="13" max="13" width="8.1796875" style="1" customWidth="1"/>
    <col min="14" max="14" width="16.90625" style="1" bestFit="1" customWidth="1"/>
    <col min="15" max="15" width="1.54296875" style="1" customWidth="1"/>
    <col min="16" max="16" width="8.1796875" style="1" customWidth="1"/>
    <col min="17" max="17" width="16.90625" style="1" bestFit="1" customWidth="1"/>
    <col min="18" max="18" width="1.54296875" style="1" customWidth="1"/>
    <col min="19" max="19" width="8.1796875" style="1" customWidth="1"/>
    <col min="20" max="20" width="16.90625" style="1" bestFit="1" customWidth="1"/>
    <col min="21" max="21" width="1.54296875" style="1" customWidth="1"/>
    <col min="22" max="22" width="8.1796875" style="1" customWidth="1"/>
    <col min="23" max="23" width="16.90625" style="1" bestFit="1" customWidth="1"/>
    <col min="24" max="24" width="1.54296875" style="1" customWidth="1"/>
    <col min="25" max="25" width="8.1796875" style="1" customWidth="1"/>
    <col min="26" max="26" width="16.90625" style="1" bestFit="1" customWidth="1"/>
    <col min="27" max="27" width="1.54296875" style="1" customWidth="1"/>
    <col min="28" max="28" width="8.1796875" style="1" customWidth="1"/>
    <col min="29" max="29" width="16.90625" style="1" bestFit="1" customWidth="1"/>
    <col min="30" max="30" width="1.54296875" style="1" customWidth="1"/>
    <col min="31" max="31" width="8.1796875" style="1" customWidth="1"/>
    <col min="32" max="32" width="16.90625" style="1" bestFit="1" customWidth="1"/>
    <col min="33" max="33" width="1.453125" style="1" customWidth="1"/>
    <col min="34" max="34" width="8.1796875" style="1" customWidth="1"/>
    <col min="35" max="35" width="16.90625" style="1" bestFit="1" customWidth="1"/>
    <col min="36" max="36" width="1.453125" style="1" customWidth="1"/>
    <col min="37" max="37" width="8.1796875" style="1" customWidth="1"/>
    <col min="38" max="38" width="16.90625" style="1" bestFit="1" customWidth="1"/>
    <col min="39" max="39" width="1.453125" style="1" customWidth="1"/>
    <col min="40" max="40" width="8.1796875" style="1" customWidth="1"/>
    <col min="41" max="41" width="19.08984375" style="1" bestFit="1" customWidth="1"/>
    <col min="42" max="42" width="10.54296875" style="1" bestFit="1" customWidth="1"/>
    <col min="43" max="16384" width="9.36328125" style="1"/>
  </cols>
  <sheetData>
    <row r="2" spans="2:42" ht="23.5" x14ac:dyDescent="0.55000000000000004">
      <c r="B2" s="19" t="s">
        <v>31</v>
      </c>
    </row>
    <row r="3" spans="2:42" ht="23.5" x14ac:dyDescent="0.55000000000000004">
      <c r="B3" s="19" t="s">
        <v>46</v>
      </c>
    </row>
    <row r="4" spans="2:42" ht="23.5" x14ac:dyDescent="0.55000000000000004">
      <c r="B4" s="19" t="s">
        <v>76</v>
      </c>
    </row>
    <row r="6" spans="2:42" ht="32" x14ac:dyDescent="0.3">
      <c r="C6" s="31" t="s">
        <v>87</v>
      </c>
      <c r="D6" s="105">
        <v>45658</v>
      </c>
      <c r="E6" s="106"/>
      <c r="G6" s="105">
        <v>45689</v>
      </c>
      <c r="H6" s="106"/>
      <c r="J6" s="105">
        <v>45717</v>
      </c>
      <c r="K6" s="106"/>
      <c r="M6" s="105">
        <v>45748</v>
      </c>
      <c r="N6" s="106"/>
      <c r="P6" s="105">
        <v>45778</v>
      </c>
      <c r="Q6" s="106"/>
      <c r="S6" s="105">
        <v>45809</v>
      </c>
      <c r="T6" s="106"/>
      <c r="V6" s="105">
        <v>45839</v>
      </c>
      <c r="W6" s="106"/>
      <c r="Y6" s="105">
        <v>45870</v>
      </c>
      <c r="Z6" s="106"/>
      <c r="AB6" s="105">
        <v>45901</v>
      </c>
      <c r="AC6" s="106"/>
      <c r="AE6" s="105">
        <v>45931</v>
      </c>
      <c r="AF6" s="106"/>
      <c r="AH6" s="105">
        <v>45962</v>
      </c>
      <c r="AI6" s="106"/>
      <c r="AK6" s="105">
        <v>45992</v>
      </c>
      <c r="AL6" s="106"/>
      <c r="AN6" s="106" t="s">
        <v>45</v>
      </c>
      <c r="AO6" s="106"/>
    </row>
    <row r="7" spans="2:42" x14ac:dyDescent="0.3">
      <c r="B7" s="8"/>
    </row>
    <row r="8" spans="2:42" x14ac:dyDescent="0.3">
      <c r="B8" s="32" t="s">
        <v>99</v>
      </c>
      <c r="C8" s="59" t="s">
        <v>171</v>
      </c>
      <c r="D8" s="2"/>
      <c r="E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N8" s="2"/>
      <c r="AO8" s="2"/>
      <c r="AP8" s="2"/>
    </row>
    <row r="9" spans="2:42" x14ac:dyDescent="0.3">
      <c r="B9" s="33" t="s">
        <v>79</v>
      </c>
      <c r="C9" s="25"/>
      <c r="D9" s="25"/>
      <c r="E9" s="36">
        <v>0.06</v>
      </c>
      <c r="G9" s="25"/>
      <c r="H9" s="36">
        <v>0.18</v>
      </c>
      <c r="I9" s="2"/>
      <c r="J9" s="25"/>
      <c r="K9" s="36">
        <v>2</v>
      </c>
      <c r="L9" s="2"/>
      <c r="M9" s="25"/>
      <c r="N9" s="36">
        <v>0.14000000000000001</v>
      </c>
      <c r="O9" s="2"/>
      <c r="P9" s="25"/>
      <c r="Q9" s="36">
        <v>0.18</v>
      </c>
      <c r="R9" s="2"/>
      <c r="S9" s="25"/>
      <c r="T9" s="36">
        <v>0.18</v>
      </c>
      <c r="U9" s="2"/>
      <c r="V9" s="25"/>
      <c r="W9" s="36">
        <v>0.2</v>
      </c>
      <c r="X9" s="2"/>
      <c r="Y9" s="25"/>
      <c r="Z9" s="36">
        <v>0.3</v>
      </c>
      <c r="AA9" s="2"/>
      <c r="AB9" s="25"/>
      <c r="AC9" s="36">
        <v>0.32</v>
      </c>
      <c r="AD9" s="2"/>
      <c r="AE9" s="25"/>
      <c r="AF9" s="36">
        <v>0.33</v>
      </c>
      <c r="AG9" s="2"/>
      <c r="AH9" s="25"/>
      <c r="AI9" s="36">
        <v>0.08</v>
      </c>
      <c r="AJ9" s="2"/>
      <c r="AK9" s="25"/>
      <c r="AL9" s="36">
        <v>0.12</v>
      </c>
      <c r="AN9" s="26"/>
      <c r="AO9" s="36">
        <f>SUM(E9:AL9)</f>
        <v>4.0900000000000007</v>
      </c>
      <c r="AP9" s="2"/>
    </row>
    <row r="10" spans="2:42" x14ac:dyDescent="0.3">
      <c r="B10" s="33" t="s">
        <v>77</v>
      </c>
      <c r="C10" s="2"/>
      <c r="D10" s="2" t="s">
        <v>75</v>
      </c>
      <c r="E10" s="37">
        <v>4650</v>
      </c>
      <c r="G10" s="2"/>
      <c r="H10" s="37">
        <v>4650</v>
      </c>
      <c r="I10" s="2"/>
      <c r="J10" s="2"/>
      <c r="K10" s="37">
        <v>4200</v>
      </c>
      <c r="L10" s="2"/>
      <c r="M10" s="2"/>
      <c r="N10" s="37">
        <v>4650</v>
      </c>
      <c r="O10" s="2"/>
      <c r="P10" s="2"/>
      <c r="Q10" s="37">
        <v>4500</v>
      </c>
      <c r="R10" s="2"/>
      <c r="S10" s="2"/>
      <c r="T10" s="37"/>
      <c r="U10" s="2"/>
      <c r="V10" s="2"/>
      <c r="W10" s="37">
        <v>9150</v>
      </c>
      <c r="X10" s="2"/>
      <c r="Y10" s="2"/>
      <c r="Z10" s="37">
        <v>4650</v>
      </c>
      <c r="AA10" s="2"/>
      <c r="AB10" s="2"/>
      <c r="AC10" s="37">
        <v>4650</v>
      </c>
      <c r="AD10" s="2"/>
      <c r="AE10" s="2"/>
      <c r="AF10" s="37">
        <v>4500</v>
      </c>
      <c r="AG10" s="2"/>
      <c r="AH10" s="2"/>
      <c r="AI10" s="37">
        <v>4650</v>
      </c>
      <c r="AJ10" s="2"/>
      <c r="AK10" s="2"/>
      <c r="AL10" s="37">
        <v>4500</v>
      </c>
      <c r="AN10" s="12"/>
      <c r="AO10" s="37">
        <f>SUM(E10:AL10)</f>
        <v>54750</v>
      </c>
      <c r="AP10" s="2"/>
    </row>
    <row r="11" spans="2:42" x14ac:dyDescent="0.3">
      <c r="B11" s="33" t="s">
        <v>78</v>
      </c>
      <c r="C11" s="2"/>
      <c r="D11" s="2" t="s">
        <v>75</v>
      </c>
      <c r="E11" s="37">
        <v>781.2</v>
      </c>
      <c r="G11" s="2"/>
      <c r="H11" s="37">
        <v>781.2</v>
      </c>
      <c r="I11" s="2"/>
      <c r="J11" s="2"/>
      <c r="K11" s="37">
        <v>781.2</v>
      </c>
      <c r="L11" s="2"/>
      <c r="M11" s="2"/>
      <c r="N11" s="37">
        <v>781.2</v>
      </c>
      <c r="O11" s="2"/>
      <c r="P11" s="2"/>
      <c r="Q11" s="37">
        <v>781.2</v>
      </c>
      <c r="R11" s="2"/>
      <c r="S11" s="2"/>
      <c r="T11" s="37">
        <v>781.2</v>
      </c>
      <c r="U11" s="2"/>
      <c r="V11" s="2"/>
      <c r="W11" s="37">
        <v>781.2</v>
      </c>
      <c r="X11" s="2"/>
      <c r="Y11" s="2"/>
      <c r="Z11" s="37">
        <v>781.2</v>
      </c>
      <c r="AA11" s="2"/>
      <c r="AB11" s="2"/>
      <c r="AC11" s="37">
        <v>781.2</v>
      </c>
      <c r="AD11" s="2"/>
      <c r="AE11" s="2"/>
      <c r="AF11" s="37">
        <v>781.2</v>
      </c>
      <c r="AG11" s="2"/>
      <c r="AH11" s="2"/>
      <c r="AI11" s="37">
        <v>781.2</v>
      </c>
      <c r="AJ11" s="2"/>
      <c r="AK11" s="2"/>
      <c r="AL11" s="37">
        <v>781.2</v>
      </c>
      <c r="AN11" s="12"/>
      <c r="AO11" s="37">
        <f>SUM($E11:$AL11)</f>
        <v>9374.4</v>
      </c>
      <c r="AP11" s="2"/>
    </row>
    <row r="12" spans="2:42" x14ac:dyDescent="0.3">
      <c r="B12" s="33" t="s">
        <v>170</v>
      </c>
      <c r="C12" s="2"/>
      <c r="D12" s="2"/>
      <c r="E12" s="37"/>
      <c r="G12" s="2"/>
      <c r="H12" s="37">
        <v>23982.959999999999</v>
      </c>
      <c r="I12" s="2"/>
      <c r="J12" s="2"/>
      <c r="K12" s="37"/>
      <c r="L12" s="2"/>
      <c r="M12" s="2"/>
      <c r="N12" s="37"/>
      <c r="O12" s="2"/>
      <c r="P12" s="2"/>
      <c r="Q12" s="37"/>
      <c r="R12" s="2"/>
      <c r="S12" s="2"/>
      <c r="T12" s="37"/>
      <c r="U12" s="2"/>
      <c r="V12" s="2"/>
      <c r="W12" s="37"/>
      <c r="X12" s="2"/>
      <c r="Y12" s="2"/>
      <c r="Z12" s="37"/>
      <c r="AA12" s="2"/>
      <c r="AB12" s="2"/>
      <c r="AC12" s="37"/>
      <c r="AD12" s="2"/>
      <c r="AE12" s="2"/>
      <c r="AF12" s="37"/>
      <c r="AG12" s="2"/>
      <c r="AH12" s="2"/>
      <c r="AI12" s="37"/>
      <c r="AJ12" s="2"/>
      <c r="AK12" s="2"/>
      <c r="AL12" s="37"/>
      <c r="AN12" s="12"/>
      <c r="AO12" s="37"/>
      <c r="AP12" s="2"/>
    </row>
    <row r="13" spans="2:42" ht="18.5" customHeight="1" x14ac:dyDescent="0.55000000000000004">
      <c r="B13" s="33" t="s">
        <v>81</v>
      </c>
      <c r="C13" s="25"/>
      <c r="D13" s="25"/>
      <c r="E13" s="36"/>
      <c r="G13" s="25"/>
      <c r="H13" s="36"/>
      <c r="I13" s="62"/>
      <c r="J13" s="25"/>
      <c r="K13" s="36"/>
      <c r="L13" s="2"/>
      <c r="M13" s="25"/>
      <c r="N13" s="36"/>
      <c r="O13" s="2"/>
      <c r="P13" s="25"/>
      <c r="Q13" s="36"/>
      <c r="R13" s="2"/>
      <c r="S13" s="25"/>
      <c r="T13" s="36"/>
      <c r="U13" s="2"/>
      <c r="V13" s="25"/>
      <c r="W13" s="36">
        <v>2200</v>
      </c>
      <c r="X13" s="2"/>
      <c r="Y13" s="25"/>
      <c r="Z13" s="36"/>
      <c r="AA13" s="2"/>
      <c r="AB13" s="25"/>
      <c r="AC13" s="36"/>
      <c r="AD13" s="2"/>
      <c r="AE13" s="25"/>
      <c r="AF13" s="36">
        <v>1168</v>
      </c>
      <c r="AG13" s="2"/>
      <c r="AH13" s="25"/>
      <c r="AI13" s="36"/>
      <c r="AJ13" s="2"/>
      <c r="AK13" s="25"/>
      <c r="AL13" s="36"/>
      <c r="AN13" s="26"/>
      <c r="AO13" s="36">
        <f>SUM(E13:AL13)</f>
        <v>3368</v>
      </c>
      <c r="AP13" s="2"/>
    </row>
    <row r="14" spans="2:42" x14ac:dyDescent="0.3">
      <c r="B14" s="33" t="s">
        <v>128</v>
      </c>
      <c r="C14" s="25"/>
      <c r="D14" s="25" t="s">
        <v>75</v>
      </c>
      <c r="E14" s="36">
        <v>1.9</v>
      </c>
      <c r="G14" s="25"/>
      <c r="H14" s="56" t="s">
        <v>82</v>
      </c>
      <c r="I14" s="25"/>
      <c r="J14" s="25"/>
      <c r="K14" s="36"/>
      <c r="L14" s="25"/>
      <c r="M14" s="25"/>
      <c r="N14" s="36"/>
      <c r="O14" s="25"/>
      <c r="P14" s="25"/>
      <c r="Q14" s="36"/>
      <c r="R14" s="25"/>
      <c r="S14" s="25"/>
      <c r="T14" s="36"/>
      <c r="U14" s="25"/>
      <c r="V14" s="25"/>
      <c r="W14" s="36"/>
      <c r="X14" s="25"/>
      <c r="Y14" s="25"/>
      <c r="Z14" s="36"/>
      <c r="AA14" s="25"/>
      <c r="AB14" s="25"/>
      <c r="AC14" s="36"/>
      <c r="AD14" s="25"/>
      <c r="AE14" s="25"/>
      <c r="AF14" s="36">
        <v>0.33</v>
      </c>
      <c r="AG14" s="25"/>
      <c r="AH14" s="25"/>
      <c r="AI14" s="36"/>
      <c r="AJ14" s="25"/>
      <c r="AK14" s="25"/>
      <c r="AL14" s="36"/>
      <c r="AN14" s="26"/>
      <c r="AO14" s="36">
        <f>SUM($E14:$AL14)</f>
        <v>2.23</v>
      </c>
      <c r="AP14" s="2"/>
    </row>
    <row r="15" spans="2:42" ht="13.5" thickBot="1" x14ac:dyDescent="0.35">
      <c r="B15" s="34" t="s">
        <v>129</v>
      </c>
      <c r="C15" s="27"/>
      <c r="D15" s="27" t="s">
        <v>75</v>
      </c>
      <c r="E15" s="38">
        <v>23742.48</v>
      </c>
      <c r="F15" s="28"/>
      <c r="G15" s="27"/>
      <c r="H15" s="39" t="s">
        <v>82</v>
      </c>
      <c r="I15" s="27"/>
      <c r="K15" s="38"/>
      <c r="L15" s="27"/>
      <c r="M15" s="27"/>
      <c r="N15" s="38"/>
      <c r="O15" s="27"/>
      <c r="P15" s="27"/>
      <c r="Q15" s="38"/>
      <c r="R15" s="27"/>
      <c r="S15" s="27"/>
      <c r="T15" s="38"/>
      <c r="U15" s="27"/>
      <c r="V15" s="27"/>
      <c r="W15" s="38"/>
      <c r="X15" s="27"/>
      <c r="Y15" s="27"/>
      <c r="Z15" s="38"/>
      <c r="AA15" s="27"/>
      <c r="AB15" s="27"/>
      <c r="AC15" s="38"/>
      <c r="AD15" s="27"/>
      <c r="AE15" s="27"/>
      <c r="AF15" s="38"/>
      <c r="AG15" s="27"/>
      <c r="AH15" s="27"/>
      <c r="AI15" s="38"/>
      <c r="AJ15" s="27"/>
      <c r="AK15" s="27"/>
      <c r="AL15" s="38"/>
      <c r="AM15" s="28"/>
      <c r="AN15" s="29"/>
      <c r="AO15" s="38">
        <f>SUM($E15:$AL15)</f>
        <v>23742.48</v>
      </c>
      <c r="AP15" s="63" t="s">
        <v>130</v>
      </c>
    </row>
    <row r="16" spans="2:42" x14ac:dyDescent="0.3">
      <c r="B16" s="44" t="s">
        <v>111</v>
      </c>
      <c r="C16" s="25"/>
      <c r="D16" s="25"/>
      <c r="E16" s="36">
        <f>SUM(E9:E15)</f>
        <v>29175.64</v>
      </c>
      <c r="G16" s="25"/>
      <c r="H16" s="36">
        <f>SUM(H9:H15)</f>
        <v>29414.34</v>
      </c>
      <c r="I16" s="2"/>
      <c r="J16" s="25"/>
      <c r="K16" s="36">
        <f>SUM(K9:K15)</f>
        <v>4983.2</v>
      </c>
      <c r="L16" s="2"/>
      <c r="M16" s="25"/>
      <c r="N16" s="36">
        <f>SUM(N9:N15)</f>
        <v>5431.34</v>
      </c>
      <c r="O16" s="2"/>
      <c r="P16" s="25"/>
      <c r="Q16" s="36">
        <f>SUM(Q9:Q15)</f>
        <v>5281.38</v>
      </c>
      <c r="R16" s="2"/>
      <c r="S16" s="25"/>
      <c r="T16" s="36">
        <f>SUM(T9:T15)</f>
        <v>781.38</v>
      </c>
      <c r="U16" s="2"/>
      <c r="V16" s="25"/>
      <c r="W16" s="36">
        <f>SUM(W9:W15)</f>
        <v>12131.400000000001</v>
      </c>
      <c r="X16" s="2"/>
      <c r="Y16" s="25"/>
      <c r="Z16" s="36">
        <f>SUM(Z9:Z15)</f>
        <v>5431.5</v>
      </c>
      <c r="AA16" s="2"/>
      <c r="AB16" s="25"/>
      <c r="AC16" s="36">
        <f>SUM(AC9:AC15)</f>
        <v>5431.5199999999995</v>
      </c>
      <c r="AD16" s="2"/>
      <c r="AE16" s="25"/>
      <c r="AF16" s="36">
        <f>SUM(AF9:AF15)</f>
        <v>6449.86</v>
      </c>
      <c r="AG16" s="2"/>
      <c r="AH16" s="25"/>
      <c r="AI16" s="36">
        <f>SUM(AI9:AI15)</f>
        <v>5431.28</v>
      </c>
      <c r="AJ16" s="2"/>
      <c r="AK16" s="25"/>
      <c r="AL16" s="36">
        <f>SUM(AL9:AL15)</f>
        <v>5281.32</v>
      </c>
      <c r="AN16" s="26"/>
      <c r="AO16" s="36">
        <f>SUM(E16:AL16)</f>
        <v>115224.16</v>
      </c>
      <c r="AP16" s="2"/>
    </row>
    <row r="17" spans="1:42" x14ac:dyDescent="0.3">
      <c r="B17" s="10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N17" s="26"/>
      <c r="AO17" s="26"/>
      <c r="AP17" s="2"/>
    </row>
    <row r="18" spans="1:42" x14ac:dyDescent="0.3">
      <c r="B18" s="32" t="s">
        <v>100</v>
      </c>
      <c r="C18" s="59" t="s">
        <v>169</v>
      </c>
      <c r="D18" s="2"/>
      <c r="E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N18" s="2"/>
      <c r="AO18" s="37"/>
      <c r="AP18" s="2"/>
    </row>
    <row r="19" spans="1:42" x14ac:dyDescent="0.3">
      <c r="B19" s="33" t="s">
        <v>80</v>
      </c>
      <c r="D19" s="2" t="s">
        <v>75</v>
      </c>
      <c r="E19" s="37">
        <v>0.09</v>
      </c>
      <c r="G19" s="2"/>
      <c r="H19" s="37">
        <v>0.06</v>
      </c>
      <c r="I19" s="2"/>
      <c r="J19" s="2"/>
      <c r="K19" s="37">
        <v>7.0000000000000007E-2</v>
      </c>
      <c r="L19" s="2"/>
      <c r="M19" s="2"/>
      <c r="N19" s="37">
        <v>7.0000000000000007E-2</v>
      </c>
      <c r="O19" s="2"/>
      <c r="P19" s="2"/>
      <c r="Q19" s="37">
        <v>7.0000000000000007E-2</v>
      </c>
      <c r="R19" s="2"/>
      <c r="S19" s="2"/>
      <c r="T19" s="37">
        <v>7.0000000000000007E-2</v>
      </c>
      <c r="U19" s="2"/>
      <c r="V19" s="2"/>
      <c r="W19" s="37">
        <v>0.08</v>
      </c>
      <c r="X19" s="2"/>
      <c r="Y19" s="2"/>
      <c r="Z19" s="37">
        <v>7.0000000000000007E-2</v>
      </c>
      <c r="AA19" s="2"/>
      <c r="AB19" s="2"/>
      <c r="AC19" s="37">
        <v>0.08</v>
      </c>
      <c r="AD19" s="2"/>
      <c r="AE19" s="2"/>
      <c r="AF19" s="37">
        <v>7.0000000000000007E-2</v>
      </c>
      <c r="AG19" s="2"/>
      <c r="AH19" s="2"/>
      <c r="AI19" s="37">
        <v>0.1</v>
      </c>
      <c r="AJ19" s="2"/>
      <c r="AK19" s="2"/>
      <c r="AL19" s="37">
        <v>0.42</v>
      </c>
      <c r="AN19" s="12"/>
      <c r="AO19" s="37">
        <f>SUM($E19:$AL19)</f>
        <v>1.25</v>
      </c>
      <c r="AP19" s="2"/>
    </row>
    <row r="20" spans="1:42" x14ac:dyDescent="0.3">
      <c r="B20" s="33" t="s">
        <v>163</v>
      </c>
      <c r="C20" s="2"/>
      <c r="D20" s="2"/>
      <c r="E20" s="37">
        <v>20000</v>
      </c>
      <c r="G20" s="2"/>
      <c r="H20" s="37"/>
      <c r="I20" s="2"/>
      <c r="J20" s="2"/>
      <c r="K20" s="37"/>
      <c r="L20" s="2"/>
      <c r="M20" s="2"/>
      <c r="N20" s="37"/>
      <c r="O20" s="2"/>
      <c r="P20" s="2"/>
      <c r="Q20" s="36">
        <v>450</v>
      </c>
      <c r="R20" s="2"/>
      <c r="S20" s="2"/>
      <c r="T20" s="37"/>
      <c r="U20" s="2"/>
      <c r="V20" s="2"/>
      <c r="W20" s="37"/>
      <c r="X20" s="2"/>
      <c r="Y20" s="2"/>
      <c r="Z20" s="37"/>
      <c r="AA20" s="2"/>
      <c r="AB20" s="2"/>
      <c r="AC20" s="37"/>
      <c r="AD20" s="2"/>
      <c r="AE20" s="2"/>
      <c r="AF20" s="37"/>
      <c r="AG20" s="2"/>
      <c r="AH20" s="2"/>
      <c r="AI20" s="37">
        <v>40000</v>
      </c>
      <c r="AJ20" s="2"/>
      <c r="AK20" s="2"/>
      <c r="AL20" s="37"/>
      <c r="AN20" s="12"/>
      <c r="AO20" s="37">
        <f>SUM(E20:AL20)</f>
        <v>60450</v>
      </c>
      <c r="AP20" s="2"/>
    </row>
    <row r="21" spans="1:42" x14ac:dyDescent="0.3">
      <c r="B21" s="33" t="s">
        <v>83</v>
      </c>
      <c r="C21" s="25"/>
      <c r="D21" s="25" t="s">
        <v>75</v>
      </c>
      <c r="E21" s="36"/>
      <c r="G21" s="25"/>
      <c r="H21" s="36"/>
      <c r="I21" s="25"/>
      <c r="J21" s="25"/>
      <c r="K21" s="36"/>
      <c r="L21" s="25"/>
      <c r="N21" s="36"/>
      <c r="O21" s="25"/>
      <c r="P21" s="25"/>
      <c r="Q21" s="36"/>
      <c r="R21" s="25"/>
      <c r="S21" s="25"/>
      <c r="T21" s="36"/>
      <c r="U21" s="25"/>
      <c r="V21" s="25"/>
      <c r="W21" s="36"/>
      <c r="X21" s="25"/>
      <c r="Y21" s="25"/>
      <c r="Z21" s="36"/>
      <c r="AA21" s="25"/>
      <c r="AB21" s="25"/>
      <c r="AC21" s="36"/>
      <c r="AD21" s="25"/>
      <c r="AE21" s="25"/>
      <c r="AF21" s="36"/>
      <c r="AG21" s="25"/>
      <c r="AH21" s="25"/>
      <c r="AI21" s="36"/>
      <c r="AJ21" s="25"/>
      <c r="AK21" s="25"/>
      <c r="AL21" s="36"/>
      <c r="AN21" s="26"/>
      <c r="AO21" s="36">
        <f>SUM($E21:$AL21)</f>
        <v>0</v>
      </c>
      <c r="AP21" s="25"/>
    </row>
    <row r="22" spans="1:42" x14ac:dyDescent="0.3">
      <c r="B22" s="33" t="s">
        <v>84</v>
      </c>
      <c r="C22" s="25"/>
      <c r="D22" s="25"/>
      <c r="E22" s="36">
        <v>2700</v>
      </c>
      <c r="G22" s="25"/>
      <c r="H22" s="36">
        <v>2700</v>
      </c>
      <c r="I22" s="25"/>
      <c r="J22" s="25"/>
      <c r="K22" s="36">
        <v>2700</v>
      </c>
      <c r="L22" s="25"/>
      <c r="M22" s="25"/>
      <c r="N22" s="36">
        <v>2700</v>
      </c>
      <c r="O22" s="25"/>
      <c r="P22" s="25"/>
      <c r="Q22" s="36">
        <v>2850</v>
      </c>
      <c r="R22" s="25"/>
      <c r="S22" s="25"/>
      <c r="T22" s="36">
        <v>2850</v>
      </c>
      <c r="U22" s="25"/>
      <c r="V22" s="26"/>
      <c r="W22" s="36">
        <v>2850</v>
      </c>
      <c r="X22" s="25"/>
      <c r="Y22" s="25"/>
      <c r="Z22" s="36">
        <v>2850</v>
      </c>
      <c r="AA22" s="25"/>
      <c r="AB22" s="25"/>
      <c r="AC22" s="36">
        <v>2850</v>
      </c>
      <c r="AD22" s="25"/>
      <c r="AE22" s="25"/>
      <c r="AF22" s="36">
        <v>2850</v>
      </c>
      <c r="AG22" s="25"/>
      <c r="AH22" s="25"/>
      <c r="AI22" s="36">
        <v>2850</v>
      </c>
      <c r="AJ22" s="25"/>
      <c r="AK22" s="25"/>
      <c r="AL22" s="36">
        <v>2850</v>
      </c>
      <c r="AN22" s="26"/>
      <c r="AO22" s="36">
        <f>SUM(E22:AL22)</f>
        <v>33600</v>
      </c>
      <c r="AP22" s="25"/>
    </row>
    <row r="23" spans="1:42" x14ac:dyDescent="0.3">
      <c r="B23" s="33" t="s">
        <v>85</v>
      </c>
      <c r="C23" s="25"/>
      <c r="D23" s="25"/>
      <c r="E23" s="36">
        <v>15.05</v>
      </c>
      <c r="G23" s="25"/>
      <c r="H23" s="36"/>
      <c r="I23" s="25"/>
      <c r="J23" s="25"/>
      <c r="K23" s="36"/>
      <c r="L23" s="25"/>
      <c r="M23" s="25"/>
      <c r="N23" s="36">
        <v>19.309999999999999</v>
      </c>
      <c r="O23" s="25"/>
      <c r="P23" s="25"/>
      <c r="Q23" s="84"/>
      <c r="R23" s="25"/>
      <c r="T23" s="36"/>
      <c r="U23" s="25"/>
      <c r="V23" s="25"/>
      <c r="W23" s="36"/>
      <c r="X23" s="25"/>
      <c r="Y23" s="25"/>
      <c r="Z23" s="36"/>
      <c r="AA23" s="25"/>
      <c r="AB23" s="25"/>
      <c r="AC23" s="36"/>
      <c r="AD23" s="25"/>
      <c r="AE23" s="25"/>
      <c r="AF23" s="36">
        <v>16.86</v>
      </c>
      <c r="AG23" s="25"/>
      <c r="AH23" s="25"/>
      <c r="AI23" s="36"/>
      <c r="AJ23" s="25"/>
      <c r="AK23" s="25"/>
      <c r="AL23" s="36"/>
      <c r="AN23" s="26"/>
      <c r="AO23" s="36">
        <f>SUM(E23:AL23)</f>
        <v>51.22</v>
      </c>
      <c r="AP23" s="75"/>
    </row>
    <row r="24" spans="1:42" ht="13.5" thickBot="1" x14ac:dyDescent="0.35">
      <c r="B24" s="34" t="s">
        <v>98</v>
      </c>
      <c r="C24" s="27"/>
      <c r="D24" s="27"/>
      <c r="E24" s="38"/>
      <c r="F24" s="27"/>
      <c r="G24" s="29"/>
      <c r="H24" s="38">
        <f>G24-D24</f>
        <v>0</v>
      </c>
      <c r="I24" s="27"/>
      <c r="J24" s="29"/>
      <c r="K24" s="38">
        <f>J24-G24</f>
        <v>0</v>
      </c>
      <c r="L24" s="27"/>
      <c r="M24" s="29"/>
      <c r="N24" s="38">
        <f>M24-J24</f>
        <v>0</v>
      </c>
      <c r="O24" s="27"/>
      <c r="P24" s="29"/>
      <c r="Q24" s="38">
        <f>P24-M24</f>
        <v>0</v>
      </c>
      <c r="R24" s="27"/>
      <c r="S24" s="29"/>
      <c r="T24" s="38">
        <f>S24-P24</f>
        <v>0</v>
      </c>
      <c r="U24" s="27"/>
      <c r="V24" s="29"/>
      <c r="W24" s="38">
        <f>V24-S24</f>
        <v>0</v>
      </c>
      <c r="X24" s="27"/>
      <c r="Y24" s="29"/>
      <c r="Z24" s="38">
        <f>Y24-V24</f>
        <v>0</v>
      </c>
      <c r="AA24" s="27"/>
      <c r="AB24" s="29"/>
      <c r="AC24" s="38">
        <f>AB24-Y24</f>
        <v>0</v>
      </c>
      <c r="AD24" s="27"/>
      <c r="AE24" s="29"/>
      <c r="AF24" s="38">
        <f>AE24-AB24</f>
        <v>0</v>
      </c>
      <c r="AG24" s="27"/>
      <c r="AH24" s="29"/>
      <c r="AI24" s="38">
        <f>AH24-AE24</f>
        <v>0</v>
      </c>
      <c r="AJ24" s="27"/>
      <c r="AK24" s="29"/>
      <c r="AL24" s="38">
        <f>AK24-AH24</f>
        <v>0</v>
      </c>
      <c r="AM24" s="29"/>
      <c r="AN24" s="29"/>
      <c r="AO24" s="38">
        <f>E24+H24+K24+N24+Q24+T24+W24+Z24+AC24+AF24+AI24+AL24</f>
        <v>0</v>
      </c>
      <c r="AP24" s="57" t="s">
        <v>130</v>
      </c>
    </row>
    <row r="25" spans="1:42" x14ac:dyDescent="0.3">
      <c r="B25" s="44" t="s">
        <v>112</v>
      </c>
      <c r="C25" s="25"/>
      <c r="D25" s="25"/>
      <c r="E25" s="36">
        <f>SUM(E19:E24)</f>
        <v>22715.14</v>
      </c>
      <c r="G25" s="25"/>
      <c r="H25" s="36">
        <f>SUM(H19:H24)</f>
        <v>2700.06</v>
      </c>
      <c r="I25" s="2"/>
      <c r="J25" s="25"/>
      <c r="K25" s="36">
        <f>SUM(K19:K24)</f>
        <v>2700.07</v>
      </c>
      <c r="L25" s="2"/>
      <c r="M25" s="25"/>
      <c r="N25" s="36">
        <f>SUM(N19:N24)</f>
        <v>2719.38</v>
      </c>
      <c r="O25" s="2"/>
      <c r="P25" s="25"/>
      <c r="Q25" s="36">
        <f>SUM(Q19:Q24)</f>
        <v>3300.07</v>
      </c>
      <c r="R25" s="2"/>
      <c r="S25" s="25"/>
      <c r="T25" s="36">
        <f>SUM(T19:T24)</f>
        <v>2850.07</v>
      </c>
      <c r="U25" s="2"/>
      <c r="V25" s="25"/>
      <c r="W25" s="36">
        <f>SUM(W19:W24)</f>
        <v>2850.08</v>
      </c>
      <c r="X25" s="2"/>
      <c r="Y25" s="25"/>
      <c r="Z25" s="36">
        <f>SUM(Z19:Z24)</f>
        <v>2850.07</v>
      </c>
      <c r="AA25" s="2"/>
      <c r="AB25" s="25"/>
      <c r="AC25" s="36">
        <f>SUM(AC19:AC24)</f>
        <v>2850.08</v>
      </c>
      <c r="AD25" s="2"/>
      <c r="AE25" s="25"/>
      <c r="AF25" s="36">
        <f>SUM(AF19:AF24)</f>
        <v>2866.9300000000003</v>
      </c>
      <c r="AG25" s="2"/>
      <c r="AH25" s="25"/>
      <c r="AI25" s="36">
        <f>SUM(AI19:AI24)</f>
        <v>42850.1</v>
      </c>
      <c r="AJ25" s="2"/>
      <c r="AK25" s="25"/>
      <c r="AL25" s="36">
        <f>SUM(AL19:AL24)</f>
        <v>2850.42</v>
      </c>
      <c r="AN25" s="26"/>
      <c r="AO25" s="36">
        <f>SUM(AO19:AO24)</f>
        <v>94102.47</v>
      </c>
      <c r="AP25" s="2"/>
    </row>
    <row r="26" spans="1:42" x14ac:dyDescent="0.3">
      <c r="B26" s="10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N26" s="26"/>
      <c r="AO26" s="26"/>
      <c r="AP26" s="2"/>
    </row>
    <row r="27" spans="1:42" ht="32.75" customHeight="1" x14ac:dyDescent="0.3">
      <c r="B27" s="68" t="s">
        <v>122</v>
      </c>
      <c r="C27" s="2"/>
      <c r="D27" s="2"/>
      <c r="E27" s="35">
        <f>SUM(E16+E25)</f>
        <v>51890.78</v>
      </c>
      <c r="G27" s="2"/>
      <c r="H27" s="35">
        <f>SUM(H16+H25)</f>
        <v>32114.400000000001</v>
      </c>
      <c r="I27" s="2"/>
      <c r="J27" s="2"/>
      <c r="K27" s="35">
        <f>SUM(K16+K25)</f>
        <v>7683.27</v>
      </c>
      <c r="L27" s="2"/>
      <c r="M27" s="2"/>
      <c r="N27" s="35">
        <f>SUM(N16+N25)</f>
        <v>8150.72</v>
      </c>
      <c r="O27" s="2"/>
      <c r="P27" s="2"/>
      <c r="Q27" s="35">
        <f>SUM(Q16+Q25)</f>
        <v>8581.4500000000007</v>
      </c>
      <c r="R27" s="2"/>
      <c r="S27" s="2"/>
      <c r="T27" s="35">
        <f>SUM(T16+T25)</f>
        <v>3631.4500000000003</v>
      </c>
      <c r="U27" s="2"/>
      <c r="V27" s="2"/>
      <c r="W27" s="35">
        <f>SUM(W16+W25)</f>
        <v>14981.480000000001</v>
      </c>
      <c r="X27" s="2"/>
      <c r="Y27" s="2"/>
      <c r="Z27" s="35">
        <f>SUM(Z16+Z25)</f>
        <v>8281.57</v>
      </c>
      <c r="AA27" s="2"/>
      <c r="AB27" s="2"/>
      <c r="AC27" s="35">
        <f>SUM(AC16+AC25)</f>
        <v>8281.5999999999985</v>
      </c>
      <c r="AD27" s="2"/>
      <c r="AE27" s="2"/>
      <c r="AF27" s="35">
        <f>SUM(AF16+AF25)</f>
        <v>9316.7900000000009</v>
      </c>
      <c r="AG27" s="2"/>
      <c r="AH27" s="2"/>
      <c r="AI27" s="35">
        <f>SUM(AI16+AI25)</f>
        <v>48281.38</v>
      </c>
      <c r="AJ27" s="2"/>
      <c r="AK27" s="2"/>
      <c r="AL27" s="35">
        <f>SUM(AL16+AL25)</f>
        <v>8131.74</v>
      </c>
      <c r="AN27" s="12"/>
      <c r="AO27" s="35">
        <f>SUM(AO16+AO25)</f>
        <v>209326.63</v>
      </c>
      <c r="AP27" s="2"/>
    </row>
    <row r="28" spans="1:42" ht="49.25" customHeight="1" x14ac:dyDescent="0.3">
      <c r="B28" s="9"/>
      <c r="C28" s="2"/>
      <c r="D28" s="2"/>
      <c r="E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N28" s="12"/>
      <c r="AO28" s="12"/>
      <c r="AP28" s="2"/>
    </row>
    <row r="29" spans="1:42" ht="29.15" customHeight="1" x14ac:dyDescent="0.45">
      <c r="B29" s="87" t="s">
        <v>123</v>
      </c>
      <c r="C29" s="85"/>
      <c r="D29" s="85"/>
      <c r="E29" s="85"/>
      <c r="F29" s="86"/>
      <c r="G29" s="85"/>
      <c r="H29" s="85"/>
      <c r="I29" s="85"/>
      <c r="J29" s="85"/>
      <c r="K29" s="85"/>
      <c r="L29" s="85"/>
      <c r="M29" s="85"/>
      <c r="N29" s="85"/>
      <c r="O29" s="85"/>
      <c r="P29" s="83"/>
      <c r="Q29" s="85"/>
      <c r="R29" s="85"/>
      <c r="S29" s="85"/>
      <c r="T29" s="85"/>
      <c r="U29" s="85"/>
      <c r="V29" s="85"/>
      <c r="W29" s="85"/>
      <c r="X29" s="85"/>
      <c r="Y29" s="85"/>
      <c r="Z29" s="85"/>
      <c r="AA29" s="85"/>
      <c r="AB29" s="85"/>
      <c r="AC29" s="85"/>
      <c r="AD29" s="85"/>
      <c r="AE29" s="85"/>
      <c r="AF29" s="85"/>
      <c r="AG29" s="85"/>
      <c r="AH29" s="85"/>
      <c r="AI29" s="85"/>
      <c r="AJ29" s="85"/>
      <c r="AK29" s="85"/>
      <c r="AL29" s="85"/>
      <c r="AM29" s="85"/>
      <c r="AN29" s="85"/>
      <c r="AO29" s="85">
        <f>SUM($E29:$AL29)</f>
        <v>0</v>
      </c>
      <c r="AP29" s="2"/>
    </row>
    <row r="30" spans="1:42" ht="6.65" customHeight="1" x14ac:dyDescent="0.3">
      <c r="B30" s="30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"/>
    </row>
    <row r="31" spans="1:42" x14ac:dyDescent="0.3">
      <c r="A31" s="1" t="s">
        <v>101</v>
      </c>
      <c r="B31" s="40">
        <v>9553</v>
      </c>
      <c r="C31" s="59" t="s">
        <v>173</v>
      </c>
      <c r="D31" s="2"/>
      <c r="E31" s="2"/>
      <c r="G31" s="2"/>
      <c r="H31" s="58"/>
      <c r="I31" s="2"/>
      <c r="J31" s="59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12"/>
      <c r="AO31" s="12"/>
      <c r="AP31" s="2"/>
    </row>
    <row r="32" spans="1:42" x14ac:dyDescent="0.3">
      <c r="B32" s="42" t="s">
        <v>137</v>
      </c>
      <c r="C32" s="25"/>
      <c r="D32" s="25"/>
      <c r="E32" s="54">
        <v>1338.09</v>
      </c>
      <c r="G32" s="25"/>
      <c r="H32" s="54">
        <v>834.34</v>
      </c>
      <c r="I32" s="25"/>
      <c r="K32" s="54">
        <v>1467.82</v>
      </c>
      <c r="L32" s="25"/>
      <c r="M32" s="25"/>
      <c r="N32" s="54">
        <v>497.45</v>
      </c>
      <c r="O32" s="25"/>
      <c r="P32" s="25"/>
      <c r="Q32" s="54">
        <v>1933.07</v>
      </c>
      <c r="R32" s="25"/>
      <c r="S32" s="25"/>
      <c r="T32" s="54">
        <v>1483.73</v>
      </c>
      <c r="U32" s="25"/>
      <c r="V32" s="25"/>
      <c r="W32" s="54">
        <v>537.15</v>
      </c>
      <c r="X32" s="25"/>
      <c r="Y32" s="25"/>
      <c r="Z32" s="54">
        <v>422.9</v>
      </c>
      <c r="AA32" s="25"/>
      <c r="AB32" s="25"/>
      <c r="AC32" s="54">
        <v>1576.16</v>
      </c>
      <c r="AD32" s="25"/>
      <c r="AE32" s="25"/>
      <c r="AF32" s="54">
        <v>470.9</v>
      </c>
      <c r="AG32" s="25"/>
      <c r="AH32" s="25"/>
      <c r="AI32" s="54">
        <v>229.89</v>
      </c>
      <c r="AJ32" s="25"/>
      <c r="AK32" s="25"/>
      <c r="AL32" s="54">
        <v>1880.25</v>
      </c>
      <c r="AM32" s="25"/>
      <c r="AN32" s="26"/>
      <c r="AO32" s="54">
        <f>SUM($E32:$AL32)</f>
        <v>12671.749999999998</v>
      </c>
      <c r="AP32" s="2"/>
    </row>
    <row r="33" spans="1:42" x14ac:dyDescent="0.3">
      <c r="A33" s="1" t="s">
        <v>105</v>
      </c>
      <c r="B33" s="42" t="s">
        <v>133</v>
      </c>
      <c r="C33" s="26"/>
      <c r="D33" s="26" t="s">
        <v>75</v>
      </c>
      <c r="E33" s="54"/>
      <c r="G33" s="26"/>
      <c r="H33" s="54"/>
      <c r="J33" s="26"/>
      <c r="K33" s="54">
        <v>1147.05</v>
      </c>
      <c r="L33" s="25"/>
      <c r="M33" s="26"/>
      <c r="N33" s="54"/>
      <c r="O33" s="25"/>
      <c r="P33" s="26"/>
      <c r="Q33" s="54"/>
      <c r="R33" s="25"/>
      <c r="S33" s="26"/>
      <c r="T33" s="54">
        <v>1147.05</v>
      </c>
      <c r="U33" s="25"/>
      <c r="V33" s="26"/>
      <c r="W33" s="54"/>
      <c r="X33" s="25"/>
      <c r="Y33" s="26"/>
      <c r="Z33" s="54"/>
      <c r="AA33" s="25"/>
      <c r="AB33" s="26"/>
      <c r="AC33" s="54">
        <v>1147.05</v>
      </c>
      <c r="AD33" s="25"/>
      <c r="AE33" s="26"/>
      <c r="AF33" s="54"/>
      <c r="AG33" s="25"/>
      <c r="AH33" s="26"/>
      <c r="AI33" s="54"/>
      <c r="AJ33" s="25"/>
      <c r="AK33" s="26"/>
      <c r="AL33" s="54">
        <v>1147.05</v>
      </c>
      <c r="AM33" s="25"/>
      <c r="AN33" s="26"/>
      <c r="AO33" s="54">
        <f>SUM(E33:AL33)</f>
        <v>4588.2</v>
      </c>
    </row>
    <row r="34" spans="1:42" x14ac:dyDescent="0.3">
      <c r="B34" s="72" t="s">
        <v>125</v>
      </c>
      <c r="D34" s="25">
        <v>261.49</v>
      </c>
      <c r="E34" s="54"/>
      <c r="F34" s="71"/>
      <c r="G34" s="25">
        <v>6.99</v>
      </c>
      <c r="H34" s="54"/>
      <c r="I34" s="25"/>
      <c r="J34" s="25"/>
      <c r="K34" s="54"/>
      <c r="L34" s="25"/>
      <c r="M34" s="25">
        <v>199.87</v>
      </c>
      <c r="N34" s="54"/>
      <c r="O34" s="25"/>
      <c r="P34" s="25"/>
      <c r="Q34" s="54"/>
      <c r="R34" s="25"/>
      <c r="S34" s="25"/>
      <c r="T34" s="54"/>
      <c r="U34" s="25"/>
      <c r="V34" s="25"/>
      <c r="W34" s="54"/>
      <c r="X34" s="25"/>
      <c r="Y34" s="25"/>
      <c r="Z34" s="54"/>
      <c r="AA34" s="25"/>
      <c r="AB34" s="25"/>
      <c r="AC34" s="54"/>
      <c r="AD34" s="25"/>
      <c r="AE34" s="25"/>
      <c r="AF34" s="54"/>
      <c r="AG34" s="25"/>
      <c r="AH34" s="25"/>
      <c r="AI34" s="54"/>
      <c r="AJ34" s="25"/>
      <c r="AK34" s="25">
        <v>139.54</v>
      </c>
      <c r="AL34" s="54"/>
      <c r="AM34" s="25"/>
      <c r="AN34" s="26">
        <f>SUM(D34:AK34)</f>
        <v>607.89</v>
      </c>
      <c r="AO34" s="54"/>
      <c r="AP34" s="2"/>
    </row>
    <row r="35" spans="1:42" ht="13.5" customHeight="1" x14ac:dyDescent="0.3">
      <c r="B35" s="72" t="s">
        <v>126</v>
      </c>
      <c r="D35" s="25">
        <v>624.71</v>
      </c>
      <c r="E35" s="54"/>
      <c r="F35" s="70"/>
      <c r="G35" s="25"/>
      <c r="H35" s="54"/>
      <c r="I35" s="25"/>
      <c r="J35" s="25">
        <v>199</v>
      </c>
      <c r="K35" s="54"/>
      <c r="L35" s="25"/>
      <c r="M35" s="25"/>
      <c r="N35" s="54"/>
      <c r="O35" s="25"/>
      <c r="P35" s="25"/>
      <c r="Q35" s="54"/>
      <c r="R35" s="25"/>
      <c r="S35" s="25"/>
      <c r="T35" s="54"/>
      <c r="U35" s="25"/>
      <c r="V35" s="25"/>
      <c r="W35" s="54"/>
      <c r="X35" s="25"/>
      <c r="Y35" s="25"/>
      <c r="Z35" s="54"/>
      <c r="AA35" s="25"/>
      <c r="AB35" s="25"/>
      <c r="AC35" s="54"/>
      <c r="AD35" s="25"/>
      <c r="AE35" s="25"/>
      <c r="AF35" s="54"/>
      <c r="AG35" s="25"/>
      <c r="AH35" s="25"/>
      <c r="AI35" s="54"/>
      <c r="AJ35" s="25"/>
      <c r="AK35" s="25"/>
      <c r="AL35" s="54"/>
      <c r="AM35" s="25"/>
      <c r="AN35" s="26">
        <f t="shared" ref="AN35:AN41" si="0">SUM(D35:AK35)</f>
        <v>823.71</v>
      </c>
      <c r="AO35" s="54"/>
      <c r="AP35" s="2"/>
    </row>
    <row r="36" spans="1:42" ht="13.5" customHeight="1" x14ac:dyDescent="0.3">
      <c r="B36" s="72" t="s">
        <v>131</v>
      </c>
      <c r="D36" s="25">
        <v>171.3</v>
      </c>
      <c r="E36" s="54"/>
      <c r="F36" s="70"/>
      <c r="G36" s="25">
        <v>109.69</v>
      </c>
      <c r="H36" s="54"/>
      <c r="I36" s="25"/>
      <c r="J36" s="25">
        <v>82.17</v>
      </c>
      <c r="K36" s="54"/>
      <c r="L36" s="25"/>
      <c r="M36" s="25">
        <v>75.78</v>
      </c>
      <c r="N36" s="54"/>
      <c r="O36" s="25"/>
      <c r="P36" s="25">
        <v>205.3</v>
      </c>
      <c r="Q36" s="54"/>
      <c r="R36" s="25"/>
      <c r="S36" s="25">
        <v>191.08</v>
      </c>
      <c r="T36" s="54"/>
      <c r="U36" s="25"/>
      <c r="V36" s="25">
        <v>136.34</v>
      </c>
      <c r="W36" s="54"/>
      <c r="X36" s="25"/>
      <c r="Y36" s="25">
        <v>291.27999999999997</v>
      </c>
      <c r="Z36" s="54"/>
      <c r="AA36" s="25"/>
      <c r="AB36" s="25">
        <v>266.57</v>
      </c>
      <c r="AC36" s="54"/>
      <c r="AD36" s="25"/>
      <c r="AE36" s="25">
        <v>182.06</v>
      </c>
      <c r="AF36" s="54"/>
      <c r="AG36" s="25"/>
      <c r="AH36" s="25">
        <v>172.94</v>
      </c>
      <c r="AI36" s="54"/>
      <c r="AJ36" s="25"/>
      <c r="AK36" s="25">
        <v>470.66</v>
      </c>
      <c r="AL36" s="54"/>
      <c r="AM36" s="25"/>
      <c r="AN36" s="26">
        <f t="shared" si="0"/>
        <v>2355.17</v>
      </c>
      <c r="AO36" s="54"/>
      <c r="AP36" s="2"/>
    </row>
    <row r="37" spans="1:42" ht="13.5" customHeight="1" x14ac:dyDescent="0.3">
      <c r="B37" s="72" t="s">
        <v>135</v>
      </c>
      <c r="D37" s="25">
        <v>144.99</v>
      </c>
      <c r="E37" s="54"/>
      <c r="F37" s="70"/>
      <c r="G37" s="25">
        <v>87.16</v>
      </c>
      <c r="H37" s="54"/>
      <c r="I37" s="25"/>
      <c r="J37" s="25"/>
      <c r="K37" s="54"/>
      <c r="L37" s="25"/>
      <c r="M37" s="25">
        <v>74.27</v>
      </c>
      <c r="N37" s="54"/>
      <c r="O37" s="25"/>
      <c r="P37" s="25">
        <v>1395</v>
      </c>
      <c r="Q37" s="54"/>
      <c r="R37" s="25"/>
      <c r="S37" s="25"/>
      <c r="T37" s="54"/>
      <c r="U37" s="25"/>
      <c r="W37" s="54"/>
      <c r="X37" s="25"/>
      <c r="Z37" s="54"/>
      <c r="AA37" s="25"/>
      <c r="AB37" s="25"/>
      <c r="AC37" s="54"/>
      <c r="AD37" s="25"/>
      <c r="AE37" s="25"/>
      <c r="AF37" s="54"/>
      <c r="AG37" s="25"/>
      <c r="AH37" s="25"/>
      <c r="AI37" s="54"/>
      <c r="AJ37" s="25"/>
      <c r="AK37" s="25"/>
      <c r="AL37" s="54"/>
      <c r="AM37" s="25"/>
      <c r="AN37" s="26">
        <f t="shared" si="0"/>
        <v>1701.42</v>
      </c>
      <c r="AO37" s="54"/>
      <c r="AP37" s="2"/>
    </row>
    <row r="38" spans="1:42" ht="13.5" customHeight="1" x14ac:dyDescent="0.3">
      <c r="B38" s="72" t="s">
        <v>136</v>
      </c>
      <c r="D38" s="25"/>
      <c r="E38" s="54"/>
      <c r="F38" s="70"/>
      <c r="G38" s="25">
        <v>76.23</v>
      </c>
      <c r="H38" s="54"/>
      <c r="I38" s="25"/>
      <c r="J38" s="25"/>
      <c r="K38" s="54"/>
      <c r="L38" s="25"/>
      <c r="M38" s="25">
        <v>147.53</v>
      </c>
      <c r="N38" s="54"/>
      <c r="O38" s="25"/>
      <c r="P38" s="25">
        <v>70.69</v>
      </c>
      <c r="Q38" s="54"/>
      <c r="R38" s="25"/>
      <c r="S38" s="25"/>
      <c r="T38" s="54"/>
      <c r="U38" s="25"/>
      <c r="V38" s="25">
        <v>68.209999999999994</v>
      </c>
      <c r="W38" s="54"/>
      <c r="X38" s="25"/>
      <c r="Y38" s="25">
        <v>35.619999999999997</v>
      </c>
      <c r="Z38" s="54"/>
      <c r="AA38" s="25"/>
      <c r="AB38" s="25">
        <v>49.54</v>
      </c>
      <c r="AC38" s="54"/>
      <c r="AD38" s="25"/>
      <c r="AE38" s="25">
        <v>114.84</v>
      </c>
      <c r="AF38" s="54"/>
      <c r="AG38" s="25"/>
      <c r="AH38" s="25">
        <v>17.95</v>
      </c>
      <c r="AI38" s="54"/>
      <c r="AJ38" s="25"/>
      <c r="AK38" s="25"/>
      <c r="AL38" s="54"/>
      <c r="AM38" s="25"/>
      <c r="AN38" s="26">
        <f t="shared" si="0"/>
        <v>580.61</v>
      </c>
      <c r="AO38" s="54"/>
      <c r="AP38" s="2"/>
    </row>
    <row r="39" spans="1:42" ht="13.5" customHeight="1" x14ac:dyDescent="0.3">
      <c r="B39" s="72" t="s">
        <v>127</v>
      </c>
      <c r="D39" s="25">
        <v>135.6</v>
      </c>
      <c r="E39" s="54"/>
      <c r="F39" s="70"/>
      <c r="G39" s="25">
        <v>208.8</v>
      </c>
      <c r="H39" s="54"/>
      <c r="I39" s="25"/>
      <c r="J39" s="25">
        <v>39.6</v>
      </c>
      <c r="K39" s="54"/>
      <c r="L39" s="25"/>
      <c r="M39" s="25"/>
      <c r="N39" s="54"/>
      <c r="O39" s="25"/>
      <c r="P39" s="1">
        <v>79.2</v>
      </c>
      <c r="Q39" s="54"/>
      <c r="R39" s="25"/>
      <c r="S39" s="25">
        <v>145.6</v>
      </c>
      <c r="T39" s="54"/>
      <c r="U39" s="25"/>
      <c r="V39" s="25">
        <v>113.6</v>
      </c>
      <c r="W39" s="54"/>
      <c r="X39" s="25"/>
      <c r="Y39" s="25">
        <v>84</v>
      </c>
      <c r="Z39" s="54"/>
      <c r="AA39" s="25"/>
      <c r="AB39" s="25">
        <v>113</v>
      </c>
      <c r="AC39" s="54"/>
      <c r="AD39" s="25"/>
      <c r="AE39" s="76">
        <v>162</v>
      </c>
      <c r="AF39" s="54"/>
      <c r="AG39" s="25"/>
      <c r="AH39" s="25">
        <v>39</v>
      </c>
      <c r="AI39" s="54"/>
      <c r="AJ39" s="25"/>
      <c r="AK39" s="25">
        <v>123</v>
      </c>
      <c r="AL39" s="54"/>
      <c r="AM39" s="25"/>
      <c r="AN39" s="26">
        <f t="shared" si="0"/>
        <v>1243.4000000000001</v>
      </c>
      <c r="AO39" s="54"/>
      <c r="AP39" s="2"/>
    </row>
    <row r="40" spans="1:42" ht="13.5" customHeight="1" x14ac:dyDescent="0.3">
      <c r="B40" s="72" t="s">
        <v>134</v>
      </c>
      <c r="D40" s="25"/>
      <c r="E40" s="54"/>
      <c r="F40" s="70"/>
      <c r="G40" s="25"/>
      <c r="H40" s="54"/>
      <c r="I40" s="25"/>
      <c r="J40" s="25"/>
      <c r="K40" s="54"/>
      <c r="L40" s="25"/>
      <c r="M40" s="25"/>
      <c r="N40" s="54"/>
      <c r="O40" s="25"/>
      <c r="P40" s="1">
        <v>182.88</v>
      </c>
      <c r="Q40" s="54"/>
      <c r="R40" s="25"/>
      <c r="S40" s="25"/>
      <c r="T40" s="54"/>
      <c r="U40" s="25"/>
      <c r="V40" s="25"/>
      <c r="W40" s="54"/>
      <c r="X40" s="25"/>
      <c r="Y40" s="25"/>
      <c r="Z40" s="54"/>
      <c r="AA40" s="25"/>
      <c r="AB40" s="25"/>
      <c r="AC40" s="54"/>
      <c r="AD40" s="25"/>
      <c r="AE40" s="76"/>
      <c r="AF40" s="54"/>
      <c r="AG40" s="25"/>
      <c r="AH40" s="25"/>
      <c r="AI40" s="54"/>
      <c r="AJ40" s="25"/>
      <c r="AK40" s="25"/>
      <c r="AL40" s="54"/>
      <c r="AM40" s="25"/>
      <c r="AN40" s="26">
        <f t="shared" si="0"/>
        <v>182.88</v>
      </c>
      <c r="AO40" s="54"/>
      <c r="AP40" s="2"/>
    </row>
    <row r="41" spans="1:42" ht="13.5" customHeight="1" thickBot="1" x14ac:dyDescent="0.35">
      <c r="B41" s="80" t="s">
        <v>132</v>
      </c>
      <c r="C41" s="28"/>
      <c r="D41" s="27"/>
      <c r="E41" s="66"/>
      <c r="F41" s="81"/>
      <c r="G41" s="27">
        <v>345.47</v>
      </c>
      <c r="H41" s="66"/>
      <c r="I41" s="27"/>
      <c r="J41" s="27"/>
      <c r="K41" s="66"/>
      <c r="L41" s="27"/>
      <c r="M41" s="27"/>
      <c r="N41" s="66"/>
      <c r="O41" s="27"/>
      <c r="P41" s="28"/>
      <c r="Q41" s="66"/>
      <c r="R41" s="27"/>
      <c r="S41" s="27"/>
      <c r="T41" s="66"/>
      <c r="U41" s="27"/>
      <c r="V41" s="27">
        <v>219</v>
      </c>
      <c r="W41" s="66"/>
      <c r="X41" s="27"/>
      <c r="Y41" s="27">
        <v>12</v>
      </c>
      <c r="Z41" s="66"/>
      <c r="AA41" s="27"/>
      <c r="AB41" s="27"/>
      <c r="AC41" s="66"/>
      <c r="AD41" s="27"/>
      <c r="AE41" s="27">
        <v>12</v>
      </c>
      <c r="AF41" s="66"/>
      <c r="AG41" s="27"/>
      <c r="AH41" s="27"/>
      <c r="AI41" s="66"/>
      <c r="AJ41" s="27"/>
      <c r="AK41" s="27"/>
      <c r="AL41" s="66"/>
      <c r="AM41" s="27"/>
      <c r="AN41" s="29">
        <f t="shared" si="0"/>
        <v>588.47</v>
      </c>
      <c r="AO41" s="66"/>
      <c r="AP41" s="2"/>
    </row>
    <row r="42" spans="1:42" x14ac:dyDescent="0.3">
      <c r="B42" s="43" t="s">
        <v>152</v>
      </c>
      <c r="C42" s="25"/>
      <c r="D42" s="25"/>
      <c r="E42" s="54">
        <f>SUM(E32:E41)</f>
        <v>1338.09</v>
      </c>
      <c r="G42" s="25"/>
      <c r="H42" s="54">
        <f>SUM(H32:H41)</f>
        <v>834.34</v>
      </c>
      <c r="I42" s="25"/>
      <c r="J42" s="25"/>
      <c r="K42" s="54">
        <f>SUM(K32:K41)</f>
        <v>2614.87</v>
      </c>
      <c r="L42" s="25"/>
      <c r="M42" s="25"/>
      <c r="N42" s="54">
        <f>SUM(N32:N41)</f>
        <v>497.45</v>
      </c>
      <c r="O42" s="25"/>
      <c r="P42" s="26"/>
      <c r="Q42" s="54">
        <f>SUM(Q32:Q41)</f>
        <v>1933.07</v>
      </c>
      <c r="R42" s="25"/>
      <c r="S42" s="25"/>
      <c r="T42" s="54">
        <f>SUM(T32:T41)</f>
        <v>2630.7799999999997</v>
      </c>
      <c r="U42" s="25"/>
      <c r="V42" s="25"/>
      <c r="W42" s="54">
        <f>SUM(W32:W41)</f>
        <v>537.15</v>
      </c>
      <c r="X42" s="25"/>
      <c r="Y42" s="25"/>
      <c r="Z42" s="54">
        <f>SUM(Z32:Z41)</f>
        <v>422.9</v>
      </c>
      <c r="AA42" s="25"/>
      <c r="AB42" s="25"/>
      <c r="AC42" s="54">
        <f>SUM(AC32:AC41)</f>
        <v>2723.21</v>
      </c>
      <c r="AD42" s="25"/>
      <c r="AE42" s="25"/>
      <c r="AF42" s="54">
        <f>SUM(AF32:AF41)</f>
        <v>470.9</v>
      </c>
      <c r="AG42" s="25"/>
      <c r="AH42" s="25"/>
      <c r="AI42" s="54">
        <f>SUM(AI32:AI41)</f>
        <v>229.89</v>
      </c>
      <c r="AJ42" s="25"/>
      <c r="AK42" s="25"/>
      <c r="AL42" s="54">
        <f>SUM(AL32:AL41)</f>
        <v>3027.3</v>
      </c>
      <c r="AM42" s="25"/>
      <c r="AN42" s="26"/>
      <c r="AO42" s="54">
        <f>SUM(AO32:AO41)</f>
        <v>17259.949999999997</v>
      </c>
      <c r="AP42" s="2"/>
    </row>
    <row r="43" spans="1:42" ht="6.5" customHeight="1" x14ac:dyDescent="0.3">
      <c r="B43" s="30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25"/>
      <c r="AM43" s="25"/>
      <c r="AN43" s="25"/>
      <c r="AO43" s="26"/>
      <c r="AP43" s="2"/>
    </row>
    <row r="44" spans="1:42" x14ac:dyDescent="0.3">
      <c r="B44" s="42" t="s">
        <v>103</v>
      </c>
      <c r="C44" s="25"/>
      <c r="D44" s="25"/>
      <c r="E44" s="54"/>
      <c r="G44" s="26"/>
      <c r="H44" s="54"/>
      <c r="I44" s="25"/>
      <c r="J44" s="26"/>
      <c r="K44" s="54"/>
      <c r="L44" s="25"/>
      <c r="M44" s="26"/>
      <c r="N44" s="54"/>
      <c r="O44" s="25"/>
      <c r="P44" s="25"/>
      <c r="Q44" s="54"/>
      <c r="R44" s="25"/>
      <c r="S44" s="26"/>
      <c r="T44" s="54"/>
      <c r="U44" s="25"/>
      <c r="V44" s="26"/>
      <c r="W44" s="54"/>
      <c r="X44" s="25"/>
      <c r="Y44" s="26"/>
      <c r="Z44" s="54"/>
      <c r="AA44" s="25"/>
      <c r="AB44" s="26"/>
      <c r="AC44" s="54"/>
      <c r="AD44" s="25"/>
      <c r="AE44" s="26"/>
      <c r="AF44" s="54"/>
      <c r="AG44" s="25"/>
      <c r="AH44" s="26"/>
      <c r="AI44" s="54"/>
      <c r="AJ44" s="25"/>
      <c r="AK44" s="26"/>
      <c r="AL44" s="54"/>
      <c r="AM44" s="25"/>
      <c r="AN44" s="26"/>
      <c r="AO44" s="54">
        <v>0</v>
      </c>
      <c r="AP44" s="2"/>
    </row>
    <row r="46" spans="1:42" ht="13.5" thickBot="1" x14ac:dyDescent="0.35">
      <c r="A46" s="1" t="s">
        <v>105</v>
      </c>
      <c r="B46" s="65" t="s">
        <v>107</v>
      </c>
      <c r="C46" s="29"/>
      <c r="D46" s="29" t="s">
        <v>75</v>
      </c>
      <c r="E46" s="66"/>
      <c r="F46" s="28"/>
      <c r="G46" s="29"/>
      <c r="H46" s="66"/>
      <c r="I46" s="28"/>
      <c r="J46" s="29"/>
      <c r="K46" s="66"/>
      <c r="L46" s="27"/>
      <c r="M46" s="29"/>
      <c r="N46" s="66"/>
      <c r="O46" s="27"/>
      <c r="P46" s="29"/>
      <c r="Q46" s="66"/>
      <c r="R46" s="27"/>
      <c r="S46" s="29"/>
      <c r="T46" s="66"/>
      <c r="U46" s="27"/>
      <c r="V46" s="29"/>
      <c r="W46" s="66"/>
      <c r="X46" s="27"/>
      <c r="Y46" s="29"/>
      <c r="Z46" s="66"/>
      <c r="AA46" s="27"/>
      <c r="AB46" s="29"/>
      <c r="AC46" s="66"/>
      <c r="AD46" s="27"/>
      <c r="AE46" s="29"/>
      <c r="AF46" s="66"/>
      <c r="AG46" s="27"/>
      <c r="AH46" s="29"/>
      <c r="AI46" s="66"/>
      <c r="AJ46" s="27"/>
      <c r="AK46" s="29"/>
      <c r="AL46" s="66"/>
      <c r="AM46" s="27"/>
      <c r="AN46" s="29">
        <f>SUM($E46:$AL46)</f>
        <v>0</v>
      </c>
      <c r="AO46" s="66">
        <f>SUM(E46:AL46)</f>
        <v>0</v>
      </c>
    </row>
    <row r="47" spans="1:42" x14ac:dyDescent="0.3">
      <c r="B47" s="43" t="s">
        <v>145</v>
      </c>
      <c r="C47" s="26"/>
      <c r="D47" s="26"/>
      <c r="E47" s="54">
        <f>SUM(E44:E46)</f>
        <v>0</v>
      </c>
      <c r="G47" s="25"/>
      <c r="H47" s="54">
        <f>SUM(H44:H46)</f>
        <v>0</v>
      </c>
      <c r="I47" s="25"/>
      <c r="J47" s="26"/>
      <c r="K47" s="54">
        <f>SUM(K44:K46)</f>
        <v>0</v>
      </c>
      <c r="L47" s="25"/>
      <c r="M47" s="25"/>
      <c r="N47" s="54">
        <f>SUM(N44:N46)</f>
        <v>0</v>
      </c>
      <c r="O47" s="25"/>
      <c r="P47" s="26"/>
      <c r="Q47" s="54">
        <f>SUM(Q44:Q46)</f>
        <v>0</v>
      </c>
      <c r="R47" s="25"/>
      <c r="S47" s="26"/>
      <c r="T47" s="54">
        <f>SUM(T44:T46)</f>
        <v>0</v>
      </c>
      <c r="U47" s="25"/>
      <c r="V47" s="26"/>
      <c r="W47" s="54">
        <f>SUM(W44:W46)</f>
        <v>0</v>
      </c>
      <c r="X47" s="25"/>
      <c r="Y47" s="26"/>
      <c r="Z47" s="54">
        <f>SUM(Z44:Z46)</f>
        <v>0</v>
      </c>
      <c r="AA47" s="25"/>
      <c r="AB47" s="26"/>
      <c r="AC47" s="54">
        <f>SUM(AC44:AC46)</f>
        <v>0</v>
      </c>
      <c r="AD47" s="25"/>
      <c r="AE47" s="26"/>
      <c r="AF47" s="54">
        <f>SUM(AF44:AF46)</f>
        <v>0</v>
      </c>
      <c r="AG47" s="25"/>
      <c r="AH47" s="26"/>
      <c r="AI47" s="54">
        <f>SUM(AI44:AI46)</f>
        <v>0</v>
      </c>
      <c r="AJ47" s="25"/>
      <c r="AK47" s="26"/>
      <c r="AL47" s="54">
        <f>SUM(AL44:AL46)</f>
        <v>0</v>
      </c>
      <c r="AM47" s="25"/>
      <c r="AN47" s="26"/>
      <c r="AO47" s="54">
        <f>SUM(AO44:AO46)</f>
        <v>0</v>
      </c>
      <c r="AP47" s="2"/>
    </row>
    <row r="48" spans="1:42" ht="6.65" customHeight="1" x14ac:dyDescent="0.3">
      <c r="B48" s="30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6"/>
      <c r="Q48" s="25"/>
      <c r="R48" s="25"/>
      <c r="S48" s="25"/>
      <c r="T48" s="25"/>
      <c r="U48" s="25"/>
      <c r="V48" s="25"/>
      <c r="W48" s="25"/>
      <c r="X48" s="25"/>
      <c r="Y48" s="26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6"/>
      <c r="AL48" s="25"/>
      <c r="AM48" s="25"/>
      <c r="AN48" s="26"/>
      <c r="AO48" s="26"/>
      <c r="AP48" s="2"/>
    </row>
    <row r="49" spans="1:42" ht="16.5" customHeight="1" x14ac:dyDescent="0.3">
      <c r="B49" s="42" t="s">
        <v>102</v>
      </c>
      <c r="C49" s="25"/>
      <c r="D49" s="26"/>
      <c r="E49" s="54"/>
      <c r="G49" s="26"/>
      <c r="H49" s="54"/>
      <c r="I49" s="26"/>
      <c r="J49" s="26"/>
      <c r="K49" s="54"/>
      <c r="L49" s="26"/>
      <c r="M49" s="26"/>
      <c r="N49" s="54"/>
      <c r="O49" s="26"/>
      <c r="P49" s="26"/>
      <c r="Q49" s="54"/>
      <c r="R49" s="26"/>
      <c r="S49" s="26"/>
      <c r="T49" s="54"/>
      <c r="U49" s="26"/>
      <c r="V49" s="26"/>
      <c r="W49" s="54"/>
      <c r="X49" s="26"/>
      <c r="Y49" s="26"/>
      <c r="Z49" s="54"/>
      <c r="AA49" s="26"/>
      <c r="AB49" s="26"/>
      <c r="AC49" s="54"/>
      <c r="AD49" s="26"/>
      <c r="AE49" s="26"/>
      <c r="AF49" s="54"/>
      <c r="AG49" s="26"/>
      <c r="AH49" s="26"/>
      <c r="AI49" s="54"/>
      <c r="AJ49" s="26"/>
      <c r="AK49" s="26"/>
      <c r="AL49" s="54"/>
      <c r="AM49" s="25"/>
      <c r="AN49" s="26"/>
      <c r="AO49" s="54"/>
      <c r="AP49" s="2"/>
    </row>
    <row r="50" spans="1:42" x14ac:dyDescent="0.3">
      <c r="B50" s="41" t="s">
        <v>139</v>
      </c>
      <c r="C50" s="26"/>
      <c r="D50" s="26" t="s">
        <v>75</v>
      </c>
      <c r="E50" s="54"/>
      <c r="G50" s="26"/>
      <c r="H50" s="54" t="s">
        <v>75</v>
      </c>
      <c r="I50" s="26"/>
      <c r="J50" s="26"/>
      <c r="K50" s="54"/>
      <c r="L50" s="26"/>
      <c r="N50" s="54"/>
      <c r="O50" s="26"/>
      <c r="P50" s="26"/>
      <c r="Q50" s="54"/>
      <c r="R50" s="26"/>
      <c r="S50" s="26"/>
      <c r="T50" s="54"/>
      <c r="U50" s="26"/>
      <c r="V50" s="26"/>
      <c r="W50" s="54"/>
      <c r="X50" s="26"/>
      <c r="Y50" s="26"/>
      <c r="Z50" s="54"/>
      <c r="AA50" s="26"/>
      <c r="AB50" s="26"/>
      <c r="AC50" s="54"/>
      <c r="AD50" s="26"/>
      <c r="AE50" s="26"/>
      <c r="AF50" s="54"/>
      <c r="AG50" s="26"/>
      <c r="AH50" s="26"/>
      <c r="AI50" s="54"/>
      <c r="AJ50" s="26"/>
      <c r="AK50" s="26"/>
      <c r="AL50" s="54"/>
      <c r="AM50" s="25"/>
      <c r="AN50" s="26"/>
      <c r="AO50" s="54">
        <f>SUM(E50:AL50)</f>
        <v>0</v>
      </c>
    </row>
    <row r="51" spans="1:42" x14ac:dyDescent="0.3">
      <c r="B51" s="41" t="s">
        <v>140</v>
      </c>
      <c r="C51" s="26"/>
      <c r="D51" s="26"/>
      <c r="E51" s="54"/>
      <c r="G51" s="26"/>
      <c r="H51" s="54" t="s">
        <v>75</v>
      </c>
      <c r="I51" s="26"/>
      <c r="J51" s="26"/>
      <c r="K51" s="54"/>
      <c r="L51" s="26"/>
      <c r="N51" s="54">
        <v>95.57</v>
      </c>
      <c r="O51" s="26"/>
      <c r="P51" s="26"/>
      <c r="R51" s="26"/>
      <c r="S51" s="26"/>
      <c r="T51" s="54"/>
      <c r="U51" s="26"/>
      <c r="V51" s="26"/>
      <c r="W51" s="54"/>
      <c r="X51" s="26"/>
      <c r="Y51" s="26"/>
      <c r="Z51" s="54"/>
      <c r="AA51" s="26"/>
      <c r="AB51" s="26"/>
      <c r="AC51" s="54"/>
      <c r="AD51" s="26"/>
      <c r="AE51" s="26"/>
      <c r="AF51" s="54"/>
      <c r="AG51" s="26"/>
      <c r="AH51" s="26"/>
      <c r="AI51" s="54"/>
      <c r="AJ51" s="26"/>
      <c r="AK51" s="26"/>
      <c r="AL51" s="54"/>
      <c r="AM51" s="25"/>
      <c r="AN51" s="26"/>
      <c r="AO51" s="54">
        <f t="shared" ref="AO51:AO52" si="1">SUM(E51:AL51)</f>
        <v>95.57</v>
      </c>
    </row>
    <row r="52" spans="1:42" ht="13.5" thickBot="1" x14ac:dyDescent="0.35">
      <c r="B52" s="77" t="s">
        <v>172</v>
      </c>
      <c r="C52" s="27"/>
      <c r="D52" s="29"/>
      <c r="E52" s="66">
        <v>4200</v>
      </c>
      <c r="F52" s="79"/>
      <c r="G52" s="29"/>
      <c r="H52" s="66"/>
      <c r="I52" s="29"/>
      <c r="J52" s="29"/>
      <c r="K52" s="66"/>
      <c r="L52" s="29"/>
      <c r="M52" s="29"/>
      <c r="N52" s="66"/>
      <c r="O52" s="29"/>
      <c r="P52" s="29"/>
      <c r="Q52" s="66"/>
      <c r="R52" s="29"/>
      <c r="S52" s="29"/>
      <c r="T52" s="66"/>
      <c r="U52" s="29"/>
      <c r="V52" s="29"/>
      <c r="W52" s="66"/>
      <c r="X52" s="29"/>
      <c r="Y52" s="29"/>
      <c r="Z52" s="66"/>
      <c r="AA52" s="29"/>
      <c r="AB52" s="29"/>
      <c r="AC52" s="66"/>
      <c r="AD52" s="29"/>
      <c r="AE52" s="29"/>
      <c r="AF52" s="66"/>
      <c r="AG52" s="29"/>
      <c r="AH52" s="29"/>
      <c r="AI52" s="66"/>
      <c r="AJ52" s="29"/>
      <c r="AK52" s="29"/>
      <c r="AL52" s="66"/>
      <c r="AM52" s="27"/>
      <c r="AN52" s="29"/>
      <c r="AO52" s="66">
        <f t="shared" si="1"/>
        <v>4200</v>
      </c>
      <c r="AP52" s="25"/>
    </row>
    <row r="53" spans="1:42" x14ac:dyDescent="0.3">
      <c r="B53" s="64" t="s">
        <v>146</v>
      </c>
      <c r="C53" s="25"/>
      <c r="D53" s="26"/>
      <c r="E53" s="54">
        <f>SUM(E49:E52)</f>
        <v>4200</v>
      </c>
      <c r="G53" s="26"/>
      <c r="H53" s="54">
        <f>SUM(H49:H52)</f>
        <v>0</v>
      </c>
      <c r="I53" s="26"/>
      <c r="J53" s="26"/>
      <c r="K53" s="54">
        <f>SUM(K49:K52)</f>
        <v>0</v>
      </c>
      <c r="L53" s="26"/>
      <c r="N53" s="54">
        <f>SUM(N49:N52)</f>
        <v>95.57</v>
      </c>
      <c r="O53" s="26"/>
      <c r="Q53" s="54">
        <f>SUM(Q49:Q52)</f>
        <v>0</v>
      </c>
      <c r="R53" s="26"/>
      <c r="S53" s="26"/>
      <c r="T53" s="54">
        <f>SUM(T49:T52)</f>
        <v>0</v>
      </c>
      <c r="U53" s="26"/>
      <c r="V53" s="26"/>
      <c r="W53" s="54">
        <f>SUM(W49:W52)</f>
        <v>0</v>
      </c>
      <c r="X53" s="26"/>
      <c r="Y53" s="26"/>
      <c r="Z53" s="54">
        <f>SUM(Z49:Z52)</f>
        <v>0</v>
      </c>
      <c r="AA53" s="26"/>
      <c r="AB53" s="26"/>
      <c r="AC53" s="54">
        <f>SUM(AC49:AC52)</f>
        <v>0</v>
      </c>
      <c r="AD53" s="26"/>
      <c r="AE53" s="26"/>
      <c r="AF53" s="54">
        <f>SUM(AF49:AF52)</f>
        <v>0</v>
      </c>
      <c r="AG53" s="26"/>
      <c r="AH53" s="26"/>
      <c r="AI53" s="54">
        <f>SUM(AI49:AI52)</f>
        <v>0</v>
      </c>
      <c r="AJ53" s="26"/>
      <c r="AK53" s="26"/>
      <c r="AL53" s="54">
        <f>SUM(AL49:AL52)</f>
        <v>0</v>
      </c>
      <c r="AM53" s="25"/>
      <c r="AN53" s="26"/>
      <c r="AO53" s="54">
        <f>SUM(AO49:AO52)</f>
        <v>4295.57</v>
      </c>
      <c r="AP53" s="25"/>
    </row>
    <row r="54" spans="1:42" ht="6.65" customHeight="1" x14ac:dyDescent="0.3">
      <c r="B54" s="30"/>
      <c r="C54" s="25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5"/>
      <c r="AN54" s="25"/>
      <c r="AO54" s="26"/>
      <c r="AP54" s="25"/>
    </row>
    <row r="55" spans="1:42" ht="15.65" customHeight="1" x14ac:dyDescent="0.3">
      <c r="B55" s="42" t="s">
        <v>106</v>
      </c>
      <c r="C55" s="26"/>
      <c r="D55" s="26"/>
      <c r="E55" s="54"/>
      <c r="G55" s="26"/>
      <c r="H55" s="54"/>
      <c r="I55" s="26"/>
      <c r="J55" s="26"/>
      <c r="K55" s="54"/>
      <c r="L55" s="26"/>
      <c r="M55" s="26"/>
      <c r="N55" s="54"/>
      <c r="O55" s="26"/>
      <c r="P55" s="26"/>
      <c r="Q55" s="54"/>
      <c r="R55" s="26"/>
      <c r="S55" s="26"/>
      <c r="T55" s="54"/>
      <c r="U55" s="26"/>
      <c r="V55" s="26"/>
      <c r="W55" s="54"/>
      <c r="X55" s="26"/>
      <c r="Y55" s="26"/>
      <c r="Z55" s="54"/>
      <c r="AA55" s="26"/>
      <c r="AB55" s="26"/>
      <c r="AC55" s="54"/>
      <c r="AD55" s="26"/>
      <c r="AE55" s="26"/>
      <c r="AF55" s="54"/>
      <c r="AG55" s="26"/>
      <c r="AH55" s="26"/>
      <c r="AI55" s="54"/>
      <c r="AJ55" s="26"/>
      <c r="AK55" s="26"/>
      <c r="AL55" s="54"/>
      <c r="AM55" s="25"/>
      <c r="AN55" s="26"/>
      <c r="AO55" s="54"/>
      <c r="AP55" s="2"/>
    </row>
    <row r="56" spans="1:42" ht="13.5" thickBot="1" x14ac:dyDescent="0.35">
      <c r="A56" s="1" t="s">
        <v>105</v>
      </c>
      <c r="B56" s="65"/>
      <c r="C56" s="29"/>
      <c r="D56" s="29" t="s">
        <v>75</v>
      </c>
      <c r="E56" s="66"/>
      <c r="F56" s="28"/>
      <c r="G56" s="29"/>
      <c r="H56" s="66"/>
      <c r="I56" s="28"/>
      <c r="J56" s="29"/>
      <c r="K56" s="66"/>
      <c r="L56" s="29"/>
      <c r="M56" s="29"/>
      <c r="N56" s="66"/>
      <c r="O56" s="29"/>
      <c r="P56" s="29"/>
      <c r="Q56" s="66"/>
      <c r="R56" s="29"/>
      <c r="S56" s="29"/>
      <c r="T56" s="66"/>
      <c r="U56" s="29"/>
      <c r="V56" s="29"/>
      <c r="W56" s="66"/>
      <c r="X56" s="29"/>
      <c r="Y56" s="29"/>
      <c r="Z56" s="66"/>
      <c r="AA56" s="29"/>
      <c r="AB56" s="29"/>
      <c r="AC56" s="66"/>
      <c r="AD56" s="29"/>
      <c r="AE56" s="29"/>
      <c r="AF56" s="66"/>
      <c r="AG56" s="29"/>
      <c r="AH56" s="29"/>
      <c r="AI56" s="66"/>
      <c r="AJ56" s="29"/>
      <c r="AK56" s="29"/>
      <c r="AL56" s="66"/>
      <c r="AM56" s="27"/>
      <c r="AN56" s="29"/>
      <c r="AO56" s="66">
        <f>SUM(E56:AL56)</f>
        <v>0</v>
      </c>
    </row>
    <row r="57" spans="1:42" x14ac:dyDescent="0.3">
      <c r="B57" s="43" t="s">
        <v>147</v>
      </c>
      <c r="C57" s="26"/>
      <c r="D57" s="26"/>
      <c r="E57" s="54">
        <f>SUM(E55:E56)</f>
        <v>0</v>
      </c>
      <c r="G57" s="26"/>
      <c r="H57" s="54">
        <f>SUM(H55:H56)</f>
        <v>0</v>
      </c>
      <c r="I57" s="26"/>
      <c r="J57" s="26"/>
      <c r="K57" s="54">
        <f>SUM(K55:K56)</f>
        <v>0</v>
      </c>
      <c r="L57" s="26"/>
      <c r="M57" s="26"/>
      <c r="N57" s="54">
        <f>SUM(N55:N56)</f>
        <v>0</v>
      </c>
      <c r="O57" s="26"/>
      <c r="P57" s="26"/>
      <c r="Q57" s="54">
        <f>SUM(Q55:Q56)</f>
        <v>0</v>
      </c>
      <c r="R57" s="26"/>
      <c r="S57" s="26"/>
      <c r="T57" s="54">
        <f>SUM(T55:T56)</f>
        <v>0</v>
      </c>
      <c r="U57" s="26"/>
      <c r="V57" s="26"/>
      <c r="W57" s="54">
        <f>SUM(W55:W56)</f>
        <v>0</v>
      </c>
      <c r="X57" s="26"/>
      <c r="Y57" s="26"/>
      <c r="Z57" s="54">
        <f>SUM(Z55:Z56)</f>
        <v>0</v>
      </c>
      <c r="AA57" s="26"/>
      <c r="AB57" s="26"/>
      <c r="AC57" s="54">
        <f>SUM(AC55:AC56)</f>
        <v>0</v>
      </c>
      <c r="AD57" s="26"/>
      <c r="AE57" s="26"/>
      <c r="AF57" s="54">
        <f>SUM(AF55:AF56)</f>
        <v>0</v>
      </c>
      <c r="AG57" s="26"/>
      <c r="AH57" s="26"/>
      <c r="AI57" s="54">
        <f>SUM(AI55:AI56)</f>
        <v>0</v>
      </c>
      <c r="AJ57" s="26"/>
      <c r="AK57" s="26"/>
      <c r="AL57" s="54">
        <f>SUM(AL55:AL56)</f>
        <v>0</v>
      </c>
      <c r="AM57" s="25"/>
      <c r="AN57" s="26"/>
      <c r="AO57" s="54">
        <f>SUM(AO55:AO56)</f>
        <v>0</v>
      </c>
      <c r="AP57" s="2"/>
    </row>
    <row r="58" spans="1:42" ht="6.65" customHeight="1" x14ac:dyDescent="0.3">
      <c r="B58" s="30"/>
      <c r="C58" s="25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5"/>
      <c r="AN58" s="25"/>
      <c r="AO58" s="26"/>
      <c r="AP58" s="2"/>
    </row>
    <row r="59" spans="1:42" ht="15.65" customHeight="1" x14ac:dyDescent="0.3">
      <c r="B59" s="42" t="s">
        <v>138</v>
      </c>
      <c r="C59" s="26"/>
      <c r="D59" s="26"/>
      <c r="E59" s="54"/>
      <c r="G59" s="26"/>
      <c r="H59" s="54"/>
      <c r="I59" s="26"/>
      <c r="J59" s="26"/>
      <c r="K59" s="54"/>
      <c r="L59" s="26"/>
      <c r="M59" s="26"/>
      <c r="N59" s="54"/>
      <c r="O59" s="26"/>
      <c r="P59" s="26"/>
      <c r="Q59" s="54"/>
      <c r="R59" s="26"/>
      <c r="S59" s="26"/>
      <c r="T59" s="54"/>
      <c r="U59" s="26"/>
      <c r="V59" s="26"/>
      <c r="W59" s="54"/>
      <c r="X59" s="26"/>
      <c r="Y59" s="26"/>
      <c r="Z59" s="54"/>
      <c r="AA59" s="26"/>
      <c r="AB59" s="26"/>
      <c r="AC59" s="54"/>
      <c r="AD59" s="26"/>
      <c r="AE59" s="26"/>
      <c r="AF59" s="54"/>
      <c r="AG59" s="26"/>
      <c r="AH59" s="26"/>
      <c r="AI59" s="54"/>
      <c r="AJ59" s="26"/>
      <c r="AK59" s="26"/>
      <c r="AL59" s="54"/>
      <c r="AM59" s="25"/>
      <c r="AN59" s="26"/>
      <c r="AO59" s="54">
        <v>0</v>
      </c>
      <c r="AP59" s="2"/>
    </row>
    <row r="60" spans="1:42" x14ac:dyDescent="0.3">
      <c r="B60" s="41" t="s">
        <v>141</v>
      </c>
      <c r="C60" s="25"/>
      <c r="D60" s="25"/>
      <c r="E60" s="54"/>
      <c r="G60" s="25"/>
      <c r="H60" s="54">
        <v>25000</v>
      </c>
      <c r="I60" s="25"/>
      <c r="J60" s="25"/>
      <c r="K60" s="54"/>
      <c r="L60" s="25"/>
      <c r="M60" s="25"/>
      <c r="N60" s="54"/>
      <c r="O60" s="25"/>
      <c r="P60" s="25"/>
      <c r="Q60" s="54"/>
      <c r="R60" s="25"/>
      <c r="S60" s="25"/>
      <c r="T60" s="54"/>
      <c r="U60" s="25"/>
      <c r="V60" s="25"/>
      <c r="W60" s="54"/>
      <c r="X60" s="25"/>
      <c r="Y60" s="25"/>
      <c r="Z60" s="54"/>
      <c r="AA60" s="25"/>
      <c r="AB60" s="25"/>
      <c r="AC60" s="54"/>
      <c r="AD60" s="25"/>
      <c r="AE60" s="25"/>
      <c r="AF60" s="54">
        <v>40000</v>
      </c>
      <c r="AG60" s="25"/>
      <c r="AH60" s="25"/>
      <c r="AI60" s="54"/>
      <c r="AJ60" s="25"/>
      <c r="AK60" s="25"/>
      <c r="AL60" s="54"/>
      <c r="AM60" s="25"/>
      <c r="AN60" s="26"/>
      <c r="AO60" s="54">
        <f>SUM($E60:$AL60)</f>
        <v>65000</v>
      </c>
      <c r="AP60" s="2"/>
    </row>
    <row r="61" spans="1:42" ht="13.5" thickBot="1" x14ac:dyDescent="0.35">
      <c r="B61" s="77" t="s">
        <v>142</v>
      </c>
      <c r="C61" s="27"/>
      <c r="D61" s="27"/>
      <c r="E61" s="66">
        <v>1295</v>
      </c>
      <c r="F61" s="78"/>
      <c r="G61" s="27"/>
      <c r="H61" s="66"/>
      <c r="I61" s="27"/>
      <c r="J61" s="27"/>
      <c r="K61" s="66"/>
      <c r="L61" s="27"/>
      <c r="M61" s="27"/>
      <c r="N61" s="66"/>
      <c r="O61" s="27"/>
      <c r="P61" s="27"/>
      <c r="Q61" s="66"/>
      <c r="R61" s="27"/>
      <c r="S61" s="27"/>
      <c r="T61" s="66"/>
      <c r="U61" s="27"/>
      <c r="V61" s="27"/>
      <c r="W61" s="66"/>
      <c r="X61" s="27"/>
      <c r="Y61" s="27"/>
      <c r="Z61" s="66"/>
      <c r="AA61" s="27"/>
      <c r="AB61" s="27"/>
      <c r="AC61" s="66"/>
      <c r="AD61" s="27"/>
      <c r="AE61" s="27"/>
      <c r="AF61" s="66"/>
      <c r="AG61" s="27"/>
      <c r="AH61" s="27"/>
      <c r="AI61" s="66"/>
      <c r="AJ61" s="27"/>
      <c r="AK61" s="27"/>
      <c r="AL61" s="66"/>
      <c r="AM61" s="27"/>
      <c r="AN61" s="29"/>
      <c r="AO61" s="66">
        <f>SUM(E61:AL61)</f>
        <v>1295</v>
      </c>
      <c r="AP61" s="2"/>
    </row>
    <row r="62" spans="1:42" x14ac:dyDescent="0.3">
      <c r="B62" s="43" t="s">
        <v>147</v>
      </c>
      <c r="C62" s="26"/>
      <c r="D62" s="26"/>
      <c r="E62" s="54">
        <f>SUM(E59:E61)</f>
        <v>1295</v>
      </c>
      <c r="G62" s="26"/>
      <c r="H62" s="54">
        <f>SUM(H59:H61)</f>
        <v>25000</v>
      </c>
      <c r="I62" s="26"/>
      <c r="J62" s="26"/>
      <c r="K62" s="54">
        <f>SUM(K59:K61)</f>
        <v>0</v>
      </c>
      <c r="L62" s="26"/>
      <c r="M62" s="26"/>
      <c r="N62" s="54">
        <f>SUM(N59:N61)</f>
        <v>0</v>
      </c>
      <c r="O62" s="26"/>
      <c r="P62" s="26"/>
      <c r="Q62" s="54">
        <f>SUM(Q59:Q61)</f>
        <v>0</v>
      </c>
      <c r="R62" s="26"/>
      <c r="S62" s="26"/>
      <c r="T62" s="54">
        <f>SUM(T59:T61)</f>
        <v>0</v>
      </c>
      <c r="U62" s="26"/>
      <c r="V62" s="26"/>
      <c r="W62" s="54">
        <f>SUM(W59:W61)</f>
        <v>0</v>
      </c>
      <c r="X62" s="26"/>
      <c r="Y62" s="26"/>
      <c r="Z62" s="54">
        <f>SUM(Z59:Z61)</f>
        <v>0</v>
      </c>
      <c r="AA62" s="26"/>
      <c r="AB62" s="26"/>
      <c r="AC62" s="54">
        <f>SUM(AC59:AC61)</f>
        <v>0</v>
      </c>
      <c r="AD62" s="26"/>
      <c r="AE62" s="26"/>
      <c r="AF62" s="54">
        <f>SUM(AF59:AF61)</f>
        <v>40000</v>
      </c>
      <c r="AG62" s="26"/>
      <c r="AH62" s="26"/>
      <c r="AI62" s="54">
        <f>SUM(AI59:AI61)</f>
        <v>0</v>
      </c>
      <c r="AJ62" s="26"/>
      <c r="AK62" s="26"/>
      <c r="AL62" s="54">
        <f>SUM(AL59:AL61)</f>
        <v>0</v>
      </c>
      <c r="AM62" s="25"/>
      <c r="AN62" s="26"/>
      <c r="AO62" s="54">
        <f>SUM(AO59:AO61)</f>
        <v>66295</v>
      </c>
      <c r="AP62" s="2"/>
    </row>
    <row r="63" spans="1:42" ht="6.65" customHeight="1" x14ac:dyDescent="0.3">
      <c r="B63" s="30"/>
      <c r="C63" s="25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  <c r="AM63" s="25"/>
      <c r="AN63" s="25"/>
      <c r="AO63" s="26"/>
      <c r="AP63" s="2"/>
    </row>
    <row r="64" spans="1:42" x14ac:dyDescent="0.3">
      <c r="A64" s="1" t="s">
        <v>101</v>
      </c>
      <c r="B64" s="40" t="s">
        <v>143</v>
      </c>
      <c r="C64" s="2"/>
      <c r="D64" s="2"/>
      <c r="E64" s="2"/>
      <c r="G64" s="2"/>
      <c r="H64" s="58"/>
      <c r="I64" s="2"/>
      <c r="J64" s="59"/>
      <c r="K64" s="2"/>
      <c r="L64" s="2"/>
      <c r="M64" s="2"/>
      <c r="N64" s="2"/>
      <c r="O64" s="2"/>
      <c r="P64" s="26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12"/>
      <c r="AO64" s="12"/>
      <c r="AP64" s="2"/>
    </row>
    <row r="65" spans="1:42" x14ac:dyDescent="0.3">
      <c r="B65" s="42" t="s">
        <v>104</v>
      </c>
      <c r="C65" s="2"/>
      <c r="D65" s="2"/>
      <c r="E65" s="55"/>
      <c r="G65" s="2"/>
      <c r="H65" s="55"/>
      <c r="I65" s="2"/>
      <c r="J65" s="2"/>
      <c r="K65" s="55"/>
      <c r="L65" s="2"/>
      <c r="M65" s="2"/>
      <c r="N65" s="55"/>
      <c r="O65" s="2"/>
      <c r="P65" s="2"/>
      <c r="Q65" s="55"/>
      <c r="R65" s="2"/>
      <c r="S65" s="2"/>
      <c r="T65" s="55"/>
      <c r="U65" s="2"/>
      <c r="V65" s="2"/>
      <c r="W65" s="55"/>
      <c r="X65" s="2"/>
      <c r="Y65" s="2"/>
      <c r="Z65" s="55"/>
      <c r="AA65" s="2"/>
      <c r="AB65" s="2"/>
      <c r="AC65" s="55"/>
      <c r="AD65" s="2"/>
      <c r="AE65" s="2"/>
      <c r="AF65" s="55"/>
      <c r="AG65" s="2"/>
      <c r="AH65" s="2"/>
      <c r="AI65" s="55"/>
      <c r="AJ65" s="2"/>
      <c r="AK65" s="2"/>
      <c r="AL65" s="55"/>
      <c r="AM65" s="2"/>
      <c r="AN65" s="12"/>
      <c r="AO65" s="55"/>
      <c r="AP65" s="101" t="s">
        <v>174</v>
      </c>
    </row>
    <row r="66" spans="1:42" ht="13.5" thickBot="1" x14ac:dyDescent="0.35">
      <c r="B66" s="65" t="s">
        <v>115</v>
      </c>
      <c r="C66" s="27"/>
      <c r="D66" s="27"/>
      <c r="E66" s="66"/>
      <c r="F66" s="28"/>
      <c r="G66" s="27"/>
      <c r="H66" s="66">
        <v>27585.71</v>
      </c>
      <c r="I66" s="27"/>
      <c r="J66" s="27"/>
      <c r="K66" s="66"/>
      <c r="L66" s="27"/>
      <c r="M66" s="27"/>
      <c r="N66" s="66"/>
      <c r="O66" s="27"/>
      <c r="P66" s="27"/>
      <c r="Q66" s="66"/>
      <c r="R66" s="27"/>
      <c r="S66" s="27"/>
      <c r="T66" s="66"/>
      <c r="U66" s="27"/>
      <c r="V66" s="27"/>
      <c r="W66" s="66"/>
      <c r="X66" s="27"/>
      <c r="Y66" s="27"/>
      <c r="Z66" s="66"/>
      <c r="AA66" s="27"/>
      <c r="AB66" s="27"/>
      <c r="AC66" s="66"/>
      <c r="AD66" s="27"/>
      <c r="AE66" s="27"/>
      <c r="AF66" s="66"/>
      <c r="AG66" s="27"/>
      <c r="AH66" s="27"/>
      <c r="AI66" s="66"/>
      <c r="AJ66" s="27"/>
      <c r="AK66" s="27"/>
      <c r="AL66" s="66"/>
      <c r="AM66" s="27"/>
      <c r="AN66" s="29"/>
      <c r="AO66" s="66">
        <f>SUM($E66:$AL66)</f>
        <v>27585.71</v>
      </c>
      <c r="AP66" s="2"/>
    </row>
    <row r="67" spans="1:42" x14ac:dyDescent="0.3">
      <c r="B67" s="43" t="s">
        <v>144</v>
      </c>
      <c r="C67" s="25"/>
      <c r="D67" s="25"/>
      <c r="E67" s="54">
        <f>SUM(E65:E66)</f>
        <v>0</v>
      </c>
      <c r="G67" s="25"/>
      <c r="H67" s="54">
        <f>SUM(H65:H66)</f>
        <v>27585.71</v>
      </c>
      <c r="I67" s="25"/>
      <c r="J67" s="25"/>
      <c r="K67" s="54">
        <f>SUM(K65:K66)</f>
        <v>0</v>
      </c>
      <c r="L67" s="25"/>
      <c r="M67" s="25"/>
      <c r="N67" s="54">
        <f>SUM(N65:N66)</f>
        <v>0</v>
      </c>
      <c r="O67" s="25"/>
      <c r="Q67" s="54">
        <f>SUM(Q65:Q66)</f>
        <v>0</v>
      </c>
      <c r="R67" s="25"/>
      <c r="S67" s="25"/>
      <c r="T67" s="54">
        <f>SUM(T65:T66)</f>
        <v>0</v>
      </c>
      <c r="U67" s="25"/>
      <c r="V67" s="25"/>
      <c r="W67" s="54">
        <f>SUM(W65:W66)</f>
        <v>0</v>
      </c>
      <c r="X67" s="25"/>
      <c r="Y67" s="25"/>
      <c r="Z67" s="54">
        <f>SUM(Z65:Z66)</f>
        <v>0</v>
      </c>
      <c r="AA67" s="25"/>
      <c r="AB67" s="25"/>
      <c r="AC67" s="54">
        <f>SUM(AC65:AC66)</f>
        <v>0</v>
      </c>
      <c r="AD67" s="25"/>
      <c r="AE67" s="25"/>
      <c r="AF67" s="54">
        <f>SUM(AF65:AF66)</f>
        <v>0</v>
      </c>
      <c r="AG67" s="25"/>
      <c r="AH67" s="25"/>
      <c r="AI67" s="54">
        <f>SUM(AI65:AI66)</f>
        <v>0</v>
      </c>
      <c r="AJ67" s="25"/>
      <c r="AK67" s="25"/>
      <c r="AL67" s="54">
        <f>SUM(AL65:AL66)</f>
        <v>0</v>
      </c>
      <c r="AM67" s="25"/>
      <c r="AN67" s="26"/>
      <c r="AO67" s="54">
        <f>SUM(AO65:AO66)</f>
        <v>27585.71</v>
      </c>
      <c r="AP67" s="2"/>
    </row>
    <row r="68" spans="1:42" ht="12.5" customHeight="1" x14ac:dyDescent="0.3">
      <c r="B68" s="30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5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  <c r="AM68" s="25"/>
      <c r="AN68" s="26"/>
      <c r="AO68" s="26"/>
      <c r="AP68" s="2"/>
    </row>
    <row r="69" spans="1:42" ht="18.5" x14ac:dyDescent="0.45">
      <c r="B69" s="69" t="s">
        <v>119</v>
      </c>
      <c r="C69" s="25"/>
      <c r="D69" s="25"/>
      <c r="E69" s="83">
        <f>SUM(E42,E47,E53,E57,E62,E67)</f>
        <v>6833.09</v>
      </c>
      <c r="G69" s="25"/>
      <c r="H69" s="83">
        <f>SUM(H42,H47,H53,H57,H62,H67)</f>
        <v>53420.05</v>
      </c>
      <c r="I69" s="25"/>
      <c r="J69" s="25"/>
      <c r="K69" s="83">
        <f>SUM(K42,K47,K53,K57,K62,K67)</f>
        <v>2614.87</v>
      </c>
      <c r="L69" s="25"/>
      <c r="M69" s="25"/>
      <c r="N69" s="83">
        <f>SUM(N42,N47,N53,N57,N62,N67)</f>
        <v>593.02</v>
      </c>
      <c r="O69" s="25"/>
      <c r="Q69" s="83">
        <f>SUM(Q42,Q47,Q53,Q57,Q62,Q67)</f>
        <v>1933.07</v>
      </c>
      <c r="R69" s="25"/>
      <c r="S69" s="25"/>
      <c r="T69" s="83">
        <f>SUM(T42,T47,T53,T57,T62,T67)</f>
        <v>2630.7799999999997</v>
      </c>
      <c r="U69" s="25"/>
      <c r="V69" s="25"/>
      <c r="W69" s="83">
        <f>SUM(W42,W47,W53,W57,W62,W67)</f>
        <v>537.15</v>
      </c>
      <c r="X69" s="25"/>
      <c r="Y69" s="25"/>
      <c r="Z69" s="83">
        <f>SUM(Z42,Z47,Z53,Z57,Z62,Z67)</f>
        <v>422.9</v>
      </c>
      <c r="AA69" s="25"/>
      <c r="AB69" s="25"/>
      <c r="AC69" s="83">
        <f>SUM(AC42,AC47,AC53,AC57,AC62,AC67)</f>
        <v>2723.21</v>
      </c>
      <c r="AD69" s="25"/>
      <c r="AE69" s="25"/>
      <c r="AF69" s="83">
        <f>SUM(AF42,AF47,AF53,AF57,AF62,AF67)</f>
        <v>40470.9</v>
      </c>
      <c r="AG69" s="25"/>
      <c r="AH69" s="25"/>
      <c r="AI69" s="83">
        <f>SUM(AI42,AI47,AI53,AI57,AI62,AI67)</f>
        <v>229.89</v>
      </c>
      <c r="AJ69" s="25"/>
      <c r="AK69" s="25"/>
      <c r="AL69" s="83">
        <f>SUM(AL42,AL47,AL53,AL57,AL62,AL67)</f>
        <v>3027.3</v>
      </c>
      <c r="AM69" s="25"/>
      <c r="AN69" s="26"/>
      <c r="AO69" s="83">
        <f>SUM(AO42,AO47,AO53,AO57,AO62,AO67)</f>
        <v>115436.22999999998</v>
      </c>
      <c r="AP69" s="2"/>
    </row>
    <row r="70" spans="1:42" ht="57.5" customHeight="1" x14ac:dyDescent="0.3">
      <c r="B70" s="30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5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  <c r="AM70" s="25"/>
      <c r="AN70" s="26"/>
      <c r="AO70" s="26"/>
      <c r="AP70" s="2"/>
    </row>
    <row r="71" spans="1:42" ht="29.15" customHeight="1" x14ac:dyDescent="0.45">
      <c r="B71" s="87" t="s">
        <v>124</v>
      </c>
      <c r="C71" s="85"/>
      <c r="D71" s="85"/>
      <c r="E71" s="85"/>
      <c r="F71" s="86"/>
      <c r="G71" s="85"/>
      <c r="H71" s="85"/>
      <c r="I71" s="85"/>
      <c r="J71" s="85"/>
      <c r="K71" s="85"/>
      <c r="L71" s="85"/>
      <c r="M71" s="85"/>
      <c r="N71" s="85"/>
      <c r="O71" s="85"/>
      <c r="P71" s="83"/>
      <c r="Q71" s="85"/>
      <c r="R71" s="85"/>
      <c r="S71" s="85"/>
      <c r="T71" s="85"/>
      <c r="U71" s="85"/>
      <c r="V71" s="85"/>
      <c r="W71" s="85"/>
      <c r="X71" s="85"/>
      <c r="Y71" s="85"/>
      <c r="Z71" s="85"/>
      <c r="AA71" s="85"/>
      <c r="AB71" s="85"/>
      <c r="AC71" s="85"/>
      <c r="AD71" s="85"/>
      <c r="AE71" s="85"/>
      <c r="AF71" s="85"/>
      <c r="AG71" s="85"/>
      <c r="AH71" s="85"/>
      <c r="AI71" s="85"/>
      <c r="AJ71" s="85"/>
      <c r="AK71" s="85"/>
      <c r="AL71" s="85"/>
      <c r="AM71" s="85"/>
      <c r="AN71" s="85"/>
      <c r="AO71" s="85">
        <f>SUM($E71:$AL71)</f>
        <v>0</v>
      </c>
      <c r="AP71" s="2"/>
    </row>
    <row r="72" spans="1:42" ht="6.65" customHeight="1" x14ac:dyDescent="0.3">
      <c r="B72" s="30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12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  <c r="AM72" s="25"/>
      <c r="AN72" s="26"/>
      <c r="AO72" s="26"/>
      <c r="AP72" s="2"/>
    </row>
    <row r="73" spans="1:42" x14ac:dyDescent="0.3">
      <c r="A73" s="1" t="s">
        <v>101</v>
      </c>
      <c r="B73" s="40" t="s">
        <v>148</v>
      </c>
      <c r="C73" s="59" t="s">
        <v>166</v>
      </c>
      <c r="D73" s="2"/>
      <c r="E73" s="2"/>
      <c r="G73" s="2"/>
      <c r="H73" s="58"/>
      <c r="I73" s="2"/>
      <c r="J73" s="59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12"/>
      <c r="AO73" s="12"/>
      <c r="AP73" s="2"/>
    </row>
    <row r="74" spans="1:42" x14ac:dyDescent="0.3">
      <c r="B74" s="42" t="s">
        <v>153</v>
      </c>
      <c r="C74" s="25"/>
      <c r="D74" s="25"/>
      <c r="E74" s="54"/>
      <c r="G74" s="25"/>
      <c r="H74" s="54"/>
      <c r="I74" s="25"/>
      <c r="K74" s="54"/>
      <c r="L74" s="25"/>
      <c r="M74" s="25"/>
      <c r="N74" s="54"/>
      <c r="O74" s="25"/>
      <c r="P74" s="25"/>
      <c r="Q74" s="54"/>
      <c r="R74" s="25"/>
      <c r="S74" s="25"/>
      <c r="T74" s="54"/>
      <c r="U74" s="25"/>
      <c r="V74" s="25"/>
      <c r="W74" s="54"/>
      <c r="X74" s="25"/>
      <c r="Y74" s="25"/>
      <c r="Z74" s="54"/>
      <c r="AA74" s="25"/>
      <c r="AB74" s="25"/>
      <c r="AC74" s="54"/>
      <c r="AD74" s="25"/>
      <c r="AE74" s="25"/>
      <c r="AF74" s="54"/>
      <c r="AG74" s="25"/>
      <c r="AH74" s="25"/>
      <c r="AI74" s="54"/>
      <c r="AJ74" s="25"/>
      <c r="AK74" s="25"/>
      <c r="AL74" s="54"/>
      <c r="AM74" s="25"/>
      <c r="AN74" s="26"/>
      <c r="AO74" s="55">
        <f t="shared" ref="AO74:AO76" si="2">SUM(E74:AL74)</f>
        <v>0</v>
      </c>
      <c r="AP74" s="2"/>
    </row>
    <row r="75" spans="1:42" x14ac:dyDescent="0.3">
      <c r="B75" s="72" t="s">
        <v>151</v>
      </c>
      <c r="D75" s="25"/>
      <c r="E75" s="54"/>
      <c r="F75" s="71"/>
      <c r="G75" s="25"/>
      <c r="H75" s="54">
        <v>1003.04</v>
      </c>
      <c r="I75" s="25"/>
      <c r="J75" s="25"/>
      <c r="K75" s="54"/>
      <c r="L75" s="25"/>
      <c r="M75" s="25"/>
      <c r="N75" s="54">
        <v>1287</v>
      </c>
      <c r="O75" s="25"/>
      <c r="P75" s="25"/>
      <c r="Q75" s="54"/>
      <c r="R75" s="25"/>
      <c r="S75" s="25"/>
      <c r="T75" s="54"/>
      <c r="U75" s="25"/>
      <c r="V75" s="25"/>
      <c r="W75" s="54"/>
      <c r="X75" s="25"/>
      <c r="Y75" s="25"/>
      <c r="Z75" s="54"/>
      <c r="AA75" s="25"/>
      <c r="AB75" s="25"/>
      <c r="AC75" s="54">
        <v>1124</v>
      </c>
      <c r="AD75" s="25"/>
      <c r="AE75" s="25"/>
      <c r="AF75" s="54"/>
      <c r="AG75" s="25"/>
      <c r="AH75" s="25"/>
      <c r="AI75" s="54"/>
      <c r="AJ75" s="25"/>
      <c r="AK75" s="25"/>
      <c r="AL75" s="54">
        <v>549.51</v>
      </c>
      <c r="AM75" s="25"/>
      <c r="AN75" s="26"/>
      <c r="AO75" s="55">
        <f t="shared" si="2"/>
        <v>3963.55</v>
      </c>
      <c r="AP75" s="2"/>
    </row>
    <row r="76" spans="1:42" ht="13.5" customHeight="1" thickBot="1" x14ac:dyDescent="0.35">
      <c r="B76" s="80" t="s">
        <v>132</v>
      </c>
      <c r="C76" s="28"/>
      <c r="D76" s="27"/>
      <c r="E76" s="66"/>
      <c r="F76" s="81"/>
      <c r="G76" s="27"/>
      <c r="H76" s="66"/>
      <c r="I76" s="27"/>
      <c r="J76" s="27"/>
      <c r="K76" s="66"/>
      <c r="L76" s="27"/>
      <c r="M76" s="27"/>
      <c r="N76" s="66"/>
      <c r="O76" s="27"/>
      <c r="P76" s="28"/>
      <c r="Q76" s="66"/>
      <c r="R76" s="27"/>
      <c r="S76" s="27"/>
      <c r="T76" s="66"/>
      <c r="U76" s="27"/>
      <c r="V76" s="27"/>
      <c r="W76" s="66"/>
      <c r="X76" s="27"/>
      <c r="Y76" s="27"/>
      <c r="Z76" s="66"/>
      <c r="AA76" s="27"/>
      <c r="AB76" s="27"/>
      <c r="AC76" s="66"/>
      <c r="AD76" s="27"/>
      <c r="AE76" s="27"/>
      <c r="AF76" s="66"/>
      <c r="AG76" s="27"/>
      <c r="AH76" s="27"/>
      <c r="AI76" s="66"/>
      <c r="AJ76" s="27"/>
      <c r="AK76" s="27"/>
      <c r="AL76" s="66"/>
      <c r="AM76" s="27"/>
      <c r="AN76" s="29"/>
      <c r="AO76" s="66">
        <f t="shared" si="2"/>
        <v>0</v>
      </c>
      <c r="AP76" s="2"/>
    </row>
    <row r="77" spans="1:42" x14ac:dyDescent="0.3">
      <c r="B77" s="43" t="s">
        <v>158</v>
      </c>
      <c r="C77" s="25"/>
      <c r="D77" s="25"/>
      <c r="E77" s="54">
        <f>SUM(E74:E76)</f>
        <v>0</v>
      </c>
      <c r="G77" s="25"/>
      <c r="H77" s="54">
        <f>SUM(H74:H76)</f>
        <v>1003.04</v>
      </c>
      <c r="I77" s="25"/>
      <c r="J77" s="25"/>
      <c r="K77" s="54">
        <f>SUM(K74:K76)</f>
        <v>0</v>
      </c>
      <c r="L77" s="25"/>
      <c r="M77" s="25"/>
      <c r="N77" s="54">
        <f>SUM(N74:N76)</f>
        <v>1287</v>
      </c>
      <c r="O77" s="25"/>
      <c r="P77" s="26"/>
      <c r="Q77" s="54">
        <f>SUM(Q74:Q76)</f>
        <v>0</v>
      </c>
      <c r="R77" s="25"/>
      <c r="S77" s="25"/>
      <c r="T77" s="54">
        <f>SUM(T74:T76)</f>
        <v>0</v>
      </c>
      <c r="U77" s="25"/>
      <c r="V77" s="25"/>
      <c r="W77" s="54">
        <f>SUM(W74:W76)</f>
        <v>0</v>
      </c>
      <c r="X77" s="25"/>
      <c r="Y77" s="25"/>
      <c r="Z77" s="54">
        <f>SUM(Z74:Z76)</f>
        <v>0</v>
      </c>
      <c r="AA77" s="25"/>
      <c r="AB77" s="25"/>
      <c r="AC77" s="54">
        <f>SUM(AC74:AC76)</f>
        <v>1124</v>
      </c>
      <c r="AD77" s="25"/>
      <c r="AE77" s="25"/>
      <c r="AF77" s="54">
        <f>SUM(AF74:AF76)</f>
        <v>0</v>
      </c>
      <c r="AG77" s="25"/>
      <c r="AH77" s="25"/>
      <c r="AI77" s="54">
        <f>SUM(AI74:AI76)</f>
        <v>0</v>
      </c>
      <c r="AJ77" s="25"/>
      <c r="AK77" s="25"/>
      <c r="AL77" s="54">
        <f>SUM(AL74:AL76)</f>
        <v>549.51</v>
      </c>
      <c r="AM77" s="25"/>
      <c r="AN77" s="26"/>
      <c r="AO77" s="54">
        <f>SUM(AO74:AO76)</f>
        <v>3963.55</v>
      </c>
      <c r="AP77" s="2"/>
    </row>
    <row r="78" spans="1:42" ht="8" customHeight="1" x14ac:dyDescent="0.3">
      <c r="B78" s="30"/>
      <c r="C78" s="26"/>
      <c r="D78" s="26"/>
      <c r="E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  <c r="AM78" s="26"/>
      <c r="AN78" s="26"/>
      <c r="AO78" s="26"/>
      <c r="AP78" s="2"/>
    </row>
    <row r="79" spans="1:42" x14ac:dyDescent="0.3">
      <c r="B79" s="42" t="s">
        <v>154</v>
      </c>
      <c r="C79" s="2"/>
      <c r="D79" s="2"/>
      <c r="E79" s="55"/>
      <c r="G79" s="2"/>
      <c r="H79" s="55"/>
      <c r="I79" s="2"/>
      <c r="J79" s="2"/>
      <c r="K79" s="55"/>
      <c r="L79" s="2"/>
      <c r="M79" s="2"/>
      <c r="N79" s="55"/>
      <c r="O79" s="2"/>
      <c r="P79" s="2"/>
      <c r="Q79" s="55"/>
      <c r="R79" s="2"/>
      <c r="S79" s="2"/>
      <c r="T79" s="55"/>
      <c r="U79" s="2"/>
      <c r="V79" s="2"/>
      <c r="W79" s="55"/>
      <c r="X79" s="2"/>
      <c r="Y79" s="2"/>
      <c r="Z79" s="55"/>
      <c r="AA79" s="2"/>
      <c r="AB79" s="2"/>
      <c r="AC79" s="55"/>
      <c r="AD79" s="2"/>
      <c r="AE79" s="2"/>
      <c r="AF79" s="55"/>
      <c r="AG79" s="2"/>
      <c r="AH79" s="2"/>
      <c r="AI79" s="55"/>
      <c r="AJ79" s="2"/>
      <c r="AK79" s="2"/>
      <c r="AL79" s="55"/>
      <c r="AM79" s="2"/>
      <c r="AN79" s="12"/>
      <c r="AO79" s="55">
        <f>SUM(E79:AM79)</f>
        <v>0</v>
      </c>
      <c r="AP79" s="2"/>
    </row>
    <row r="80" spans="1:42" x14ac:dyDescent="0.3">
      <c r="B80" s="42" t="s">
        <v>159</v>
      </c>
      <c r="C80" s="25"/>
      <c r="D80" s="25" t="s">
        <v>75</v>
      </c>
      <c r="E80" s="54">
        <v>444</v>
      </c>
      <c r="G80" s="25"/>
      <c r="H80" s="73">
        <v>444</v>
      </c>
      <c r="I80" s="25"/>
      <c r="J80" s="25"/>
      <c r="K80" s="55">
        <v>444</v>
      </c>
      <c r="L80" s="25"/>
      <c r="M80" s="25"/>
      <c r="N80" s="54">
        <v>444</v>
      </c>
      <c r="O80" s="25"/>
      <c r="P80" s="25"/>
      <c r="Q80" s="54">
        <v>472.25</v>
      </c>
      <c r="R80" s="25"/>
      <c r="S80" s="25"/>
      <c r="T80" s="54">
        <v>457</v>
      </c>
      <c r="U80" s="25"/>
      <c r="W80" s="54">
        <v>457</v>
      </c>
      <c r="X80" s="25"/>
      <c r="Y80" s="25"/>
      <c r="Z80" s="54">
        <v>659.25</v>
      </c>
      <c r="AA80" s="25"/>
      <c r="AB80" s="25"/>
      <c r="AC80" s="54">
        <v>457</v>
      </c>
      <c r="AD80" s="25"/>
      <c r="AE80" s="25"/>
      <c r="AF80" s="54">
        <v>457</v>
      </c>
      <c r="AG80" s="25"/>
      <c r="AH80" s="25"/>
      <c r="AI80" s="54">
        <v>457</v>
      </c>
      <c r="AJ80" s="25"/>
      <c r="AK80" s="25"/>
      <c r="AL80" s="54">
        <v>457</v>
      </c>
      <c r="AM80" s="25"/>
      <c r="AN80" s="26"/>
      <c r="AO80" s="55">
        <f t="shared" ref="AO80:AO85" si="3">SUM(E80:AM80)</f>
        <v>5649.5</v>
      </c>
      <c r="AP80" s="2"/>
    </row>
    <row r="81" spans="1:42" ht="13.5" customHeight="1" x14ac:dyDescent="0.3">
      <c r="B81" s="42" t="s">
        <v>160</v>
      </c>
      <c r="C81" s="25"/>
      <c r="D81" s="25"/>
      <c r="E81" s="54"/>
      <c r="G81" s="25"/>
      <c r="H81" s="54">
        <v>150.5</v>
      </c>
      <c r="I81" s="25"/>
      <c r="J81" s="25"/>
      <c r="K81" s="55"/>
      <c r="L81" s="25"/>
      <c r="M81" s="25"/>
      <c r="N81" s="54"/>
      <c r="O81" s="25"/>
      <c r="P81" s="25"/>
      <c r="Q81" s="54"/>
      <c r="R81" s="25"/>
      <c r="S81" s="25"/>
      <c r="T81" s="54">
        <v>439</v>
      </c>
      <c r="U81" s="25"/>
      <c r="V81" s="25"/>
      <c r="W81" s="54"/>
      <c r="X81" s="25"/>
      <c r="Y81" s="25"/>
      <c r="Z81" s="54"/>
      <c r="AA81" s="25"/>
      <c r="AB81" s="25"/>
      <c r="AC81" s="54"/>
      <c r="AD81" s="25"/>
      <c r="AE81" s="25"/>
      <c r="AF81" s="54"/>
      <c r="AG81" s="25"/>
      <c r="AH81" s="25"/>
      <c r="AI81" s="54"/>
      <c r="AJ81" s="25"/>
      <c r="AK81" s="25"/>
      <c r="AL81" s="54"/>
      <c r="AM81" s="25"/>
      <c r="AN81" s="26"/>
      <c r="AO81" s="55">
        <f t="shared" si="3"/>
        <v>589.5</v>
      </c>
      <c r="AP81" s="2"/>
    </row>
    <row r="82" spans="1:42" x14ac:dyDescent="0.3">
      <c r="B82" s="74" t="s">
        <v>161</v>
      </c>
      <c r="C82" s="25"/>
      <c r="D82" s="25"/>
      <c r="E82" s="54"/>
      <c r="G82" s="25"/>
      <c r="H82" s="54"/>
      <c r="I82" s="25"/>
      <c r="J82" s="25"/>
      <c r="K82" s="55"/>
      <c r="L82" s="25"/>
      <c r="M82" s="25"/>
      <c r="N82" s="54">
        <v>181.6</v>
      </c>
      <c r="O82" s="25"/>
      <c r="P82" s="25"/>
      <c r="Q82" s="54"/>
      <c r="R82" s="25"/>
      <c r="S82" s="25"/>
      <c r="T82" s="54"/>
      <c r="U82" s="25"/>
      <c r="V82" s="25"/>
      <c r="W82" s="54"/>
      <c r="X82" s="25"/>
      <c r="Y82" s="25"/>
      <c r="Z82" s="54"/>
      <c r="AA82" s="25"/>
      <c r="AB82" s="25"/>
      <c r="AC82" s="54"/>
      <c r="AD82" s="25"/>
      <c r="AE82" s="25"/>
      <c r="AF82" s="54">
        <v>176.67</v>
      </c>
      <c r="AG82" s="25"/>
      <c r="AH82" s="25"/>
      <c r="AI82" s="54"/>
      <c r="AJ82" s="25"/>
      <c r="AK82" s="25"/>
      <c r="AL82" s="54"/>
      <c r="AM82" s="25"/>
      <c r="AN82" s="26"/>
      <c r="AO82" s="55">
        <f t="shared" si="3"/>
        <v>358.27</v>
      </c>
      <c r="AP82" s="2"/>
    </row>
    <row r="83" spans="1:42" x14ac:dyDescent="0.3">
      <c r="B83" s="74" t="s">
        <v>165</v>
      </c>
      <c r="C83" s="25"/>
      <c r="D83" s="25"/>
      <c r="E83" s="54"/>
      <c r="G83" s="25"/>
      <c r="H83" s="54"/>
      <c r="I83" s="25"/>
      <c r="J83" s="25"/>
      <c r="K83" s="55"/>
      <c r="L83" s="25"/>
      <c r="M83" s="25"/>
      <c r="N83" s="54"/>
      <c r="O83" s="25"/>
      <c r="P83" s="25"/>
      <c r="Q83" s="54"/>
      <c r="R83" s="25"/>
      <c r="S83" s="25"/>
      <c r="T83" s="54"/>
      <c r="U83" s="25"/>
      <c r="V83" s="25"/>
      <c r="W83" s="54"/>
      <c r="X83" s="25"/>
      <c r="Y83" s="25"/>
      <c r="Z83" s="54">
        <v>50</v>
      </c>
      <c r="AA83" s="25"/>
      <c r="AB83" s="25"/>
      <c r="AC83" s="54"/>
      <c r="AD83" s="25"/>
      <c r="AE83" s="25"/>
      <c r="AF83" s="54"/>
      <c r="AG83" s="25"/>
      <c r="AH83" s="25"/>
      <c r="AI83" s="54"/>
      <c r="AJ83" s="25"/>
      <c r="AK83" s="25"/>
      <c r="AL83" s="54"/>
      <c r="AM83" s="25"/>
      <c r="AN83" s="26"/>
      <c r="AO83" s="55">
        <f t="shared" si="3"/>
        <v>50</v>
      </c>
      <c r="AP83" s="2"/>
    </row>
    <row r="84" spans="1:42" x14ac:dyDescent="0.3">
      <c r="B84" s="74" t="s">
        <v>164</v>
      </c>
      <c r="C84" s="25"/>
      <c r="D84" s="25"/>
      <c r="E84" s="54"/>
      <c r="G84" s="25"/>
      <c r="H84" s="54"/>
      <c r="I84" s="25"/>
      <c r="J84" s="25"/>
      <c r="K84" s="55"/>
      <c r="L84" s="25"/>
      <c r="M84" s="25"/>
      <c r="N84" s="54">
        <v>402</v>
      </c>
      <c r="O84" s="25"/>
      <c r="P84" s="25"/>
      <c r="Q84" s="54"/>
      <c r="R84" s="25"/>
      <c r="S84" s="25"/>
      <c r="T84" s="54"/>
      <c r="U84" s="25"/>
      <c r="V84" s="25"/>
      <c r="W84" s="54"/>
      <c r="X84" s="25"/>
      <c r="Y84" s="25"/>
      <c r="Z84" s="54"/>
      <c r="AA84" s="25"/>
      <c r="AB84" s="25"/>
      <c r="AC84" s="54"/>
      <c r="AD84" s="25"/>
      <c r="AE84" s="25"/>
      <c r="AF84" s="54"/>
      <c r="AG84" s="25"/>
      <c r="AH84" s="25"/>
      <c r="AI84" s="54"/>
      <c r="AJ84" s="25"/>
      <c r="AK84" s="25"/>
      <c r="AL84" s="54"/>
      <c r="AM84" s="25"/>
      <c r="AN84" s="26"/>
      <c r="AO84" s="55">
        <f t="shared" si="3"/>
        <v>402</v>
      </c>
      <c r="AP84" s="2"/>
    </row>
    <row r="85" spans="1:42" ht="13.5" thickBot="1" x14ac:dyDescent="0.35">
      <c r="B85" s="82" t="s">
        <v>162</v>
      </c>
      <c r="C85" s="27"/>
      <c r="D85" s="27"/>
      <c r="E85" s="66"/>
      <c r="F85" s="28"/>
      <c r="G85" s="27"/>
      <c r="H85" s="66"/>
      <c r="I85" s="27"/>
      <c r="J85" s="27"/>
      <c r="K85" s="66"/>
      <c r="L85" s="27"/>
      <c r="M85" s="27"/>
      <c r="N85" s="66">
        <v>3398.91</v>
      </c>
      <c r="O85" s="27"/>
      <c r="P85" s="27"/>
      <c r="Q85" s="66"/>
      <c r="R85" s="27"/>
      <c r="S85" s="27"/>
      <c r="T85" s="66"/>
      <c r="U85" s="27"/>
      <c r="V85" s="28"/>
      <c r="W85" s="66"/>
      <c r="X85" s="27"/>
      <c r="Y85" s="27"/>
      <c r="Z85" s="66"/>
      <c r="AA85" s="27"/>
      <c r="AB85" s="27"/>
      <c r="AC85" s="66"/>
      <c r="AD85" s="27"/>
      <c r="AE85" s="27"/>
      <c r="AF85" s="66">
        <v>3545.24</v>
      </c>
      <c r="AG85" s="27"/>
      <c r="AH85" s="27"/>
      <c r="AI85" s="66"/>
      <c r="AJ85" s="27"/>
      <c r="AK85" s="27"/>
      <c r="AL85" s="66"/>
      <c r="AM85" s="27"/>
      <c r="AN85" s="29"/>
      <c r="AO85" s="66">
        <f t="shared" si="3"/>
        <v>6944.15</v>
      </c>
      <c r="AP85" s="2"/>
    </row>
    <row r="86" spans="1:42" x14ac:dyDescent="0.3">
      <c r="B86" s="43" t="s">
        <v>155</v>
      </c>
      <c r="C86" s="25"/>
      <c r="D86" s="25"/>
      <c r="E86" s="54">
        <f>SUM(E79:E85)</f>
        <v>444</v>
      </c>
      <c r="G86" s="25"/>
      <c r="H86" s="54">
        <f>SUM(H79:H85)</f>
        <v>594.5</v>
      </c>
      <c r="I86" s="25"/>
      <c r="J86" s="25"/>
      <c r="K86" s="54">
        <f>SUM(K79:K85)</f>
        <v>444</v>
      </c>
      <c r="L86" s="25"/>
      <c r="M86" s="25"/>
      <c r="N86" s="54">
        <f>SUM(N79:N85)</f>
        <v>4426.51</v>
      </c>
      <c r="O86" s="25"/>
      <c r="P86" s="25"/>
      <c r="Q86" s="54">
        <f>SUM(Q79:Q85)</f>
        <v>472.25</v>
      </c>
      <c r="R86" s="25"/>
      <c r="S86" s="25"/>
      <c r="T86" s="54">
        <f>SUM(T79:T85)</f>
        <v>896</v>
      </c>
      <c r="U86" s="25"/>
      <c r="V86" s="25"/>
      <c r="W86" s="54">
        <f>SUM(W79:W85)</f>
        <v>457</v>
      </c>
      <c r="X86" s="25"/>
      <c r="Y86" s="25"/>
      <c r="Z86" s="54">
        <f>SUM(Z79:Z85)</f>
        <v>709.25</v>
      </c>
      <c r="AA86" s="25"/>
      <c r="AB86" s="25"/>
      <c r="AC86" s="54">
        <f>SUM(AC79:AC85)</f>
        <v>457</v>
      </c>
      <c r="AD86" s="25"/>
      <c r="AE86" s="25"/>
      <c r="AF86" s="54">
        <f>SUM(AF79:AF85)</f>
        <v>4178.91</v>
      </c>
      <c r="AG86" s="25"/>
      <c r="AH86" s="25"/>
      <c r="AI86" s="54">
        <f>SUM(AI79:AI85)</f>
        <v>457</v>
      </c>
      <c r="AJ86" s="25"/>
      <c r="AK86" s="25"/>
      <c r="AL86" s="54">
        <f>SUM(AL79:AL85)</f>
        <v>457</v>
      </c>
      <c r="AM86" s="25"/>
      <c r="AN86" s="26"/>
      <c r="AO86" s="54">
        <f>SUM(AO79:AO85)</f>
        <v>13993.42</v>
      </c>
      <c r="AP86" s="2"/>
    </row>
    <row r="87" spans="1:42" ht="6.65" customHeight="1" x14ac:dyDescent="0.3">
      <c r="B87" s="30"/>
      <c r="C87" s="25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5"/>
      <c r="Q87" s="26"/>
      <c r="R87" s="26"/>
      <c r="S87" s="26"/>
      <c r="T87" s="26"/>
      <c r="U87" s="26"/>
      <c r="V87" s="25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5"/>
      <c r="AN87" s="25"/>
      <c r="AO87" s="26"/>
      <c r="AP87" s="2"/>
    </row>
    <row r="88" spans="1:42" ht="15.65" customHeight="1" x14ac:dyDescent="0.3">
      <c r="B88" s="42" t="s">
        <v>138</v>
      </c>
      <c r="C88" s="25"/>
      <c r="D88" s="26"/>
      <c r="E88" s="54"/>
      <c r="G88" s="26"/>
      <c r="H88" s="54"/>
      <c r="I88" s="26"/>
      <c r="J88" s="26"/>
      <c r="K88" s="54"/>
      <c r="L88" s="26"/>
      <c r="M88" s="26"/>
      <c r="N88" s="54"/>
      <c r="O88" s="26"/>
      <c r="P88" s="26"/>
      <c r="Q88" s="54"/>
      <c r="R88" s="26"/>
      <c r="S88" s="26"/>
      <c r="T88" s="54"/>
      <c r="U88" s="26"/>
      <c r="V88" s="26"/>
      <c r="W88" s="54"/>
      <c r="X88" s="26"/>
      <c r="Y88" s="26"/>
      <c r="Z88" s="54"/>
      <c r="AA88" s="26"/>
      <c r="AB88" s="26"/>
      <c r="AC88" s="54"/>
      <c r="AD88" s="26"/>
      <c r="AE88" s="26"/>
      <c r="AF88" s="54"/>
      <c r="AG88" s="26"/>
      <c r="AH88" s="26"/>
      <c r="AI88" s="54"/>
      <c r="AJ88" s="26"/>
      <c r="AK88" s="26"/>
      <c r="AL88" s="54"/>
      <c r="AM88" s="26"/>
      <c r="AN88" s="26"/>
      <c r="AO88" s="54">
        <v>0</v>
      </c>
      <c r="AP88" s="2"/>
    </row>
    <row r="89" spans="1:42" ht="13.5" thickBot="1" x14ac:dyDescent="0.35">
      <c r="B89" s="77" t="s">
        <v>156</v>
      </c>
      <c r="C89" s="27"/>
      <c r="D89" s="27"/>
      <c r="E89" s="66"/>
      <c r="F89" s="28"/>
      <c r="G89" s="27"/>
      <c r="H89" s="66">
        <v>20000</v>
      </c>
      <c r="I89" s="27"/>
      <c r="J89" s="27"/>
      <c r="K89" s="66"/>
      <c r="L89" s="27"/>
      <c r="M89" s="27"/>
      <c r="N89" s="66"/>
      <c r="O89" s="27"/>
      <c r="P89" s="27"/>
      <c r="Q89" s="66"/>
      <c r="R89" s="27"/>
      <c r="S89" s="27"/>
      <c r="T89" s="66"/>
      <c r="U89" s="27"/>
      <c r="V89" s="27"/>
      <c r="W89" s="66"/>
      <c r="X89" s="27"/>
      <c r="Y89" s="27"/>
      <c r="Z89" s="66"/>
      <c r="AA89" s="27"/>
      <c r="AB89" s="27"/>
      <c r="AC89" s="66"/>
      <c r="AD89" s="27"/>
      <c r="AE89" s="27"/>
      <c r="AF89" s="66"/>
      <c r="AG89" s="27"/>
      <c r="AH89" s="27"/>
      <c r="AI89" s="66"/>
      <c r="AJ89" s="27"/>
      <c r="AK89" s="27"/>
      <c r="AL89" s="66"/>
      <c r="AM89" s="27"/>
      <c r="AN89" s="29"/>
      <c r="AO89" s="66">
        <f>SUM(E89:AM89)</f>
        <v>20000</v>
      </c>
      <c r="AP89" s="2"/>
    </row>
    <row r="90" spans="1:42" x14ac:dyDescent="0.3">
      <c r="B90" s="43" t="s">
        <v>157</v>
      </c>
      <c r="C90" s="25"/>
      <c r="D90" s="26"/>
      <c r="E90" s="54">
        <f>SUM(E88:E89)</f>
        <v>0</v>
      </c>
      <c r="G90" s="26"/>
      <c r="H90" s="54">
        <f>SUM(H88:H89)</f>
        <v>20000</v>
      </c>
      <c r="I90" s="26"/>
      <c r="J90" s="26"/>
      <c r="K90" s="54">
        <f>SUM(K88:K89)</f>
        <v>0</v>
      </c>
      <c r="L90" s="26"/>
      <c r="M90" s="26"/>
      <c r="N90" s="54">
        <f>SUM(N88:N89)</f>
        <v>0</v>
      </c>
      <c r="O90" s="26"/>
      <c r="P90" s="26"/>
      <c r="Q90" s="54">
        <f>SUM(Q88:Q89)</f>
        <v>0</v>
      </c>
      <c r="R90" s="26"/>
      <c r="S90" s="26"/>
      <c r="T90" s="54">
        <f>SUM(T88:T89)</f>
        <v>0</v>
      </c>
      <c r="U90" s="26"/>
      <c r="V90" s="26"/>
      <c r="W90" s="54">
        <f>SUM(W88:W89)</f>
        <v>0</v>
      </c>
      <c r="X90" s="26"/>
      <c r="Y90" s="26"/>
      <c r="Z90" s="54">
        <f>SUM(Z88:Z89)</f>
        <v>0</v>
      </c>
      <c r="AA90" s="26"/>
      <c r="AB90" s="26"/>
      <c r="AC90" s="54">
        <f>SUM(AC88:AC89)</f>
        <v>0</v>
      </c>
      <c r="AD90" s="26"/>
      <c r="AE90" s="26"/>
      <c r="AF90" s="54">
        <f>SUM(AF88:AF89)</f>
        <v>0</v>
      </c>
      <c r="AG90" s="26"/>
      <c r="AH90" s="26"/>
      <c r="AI90" s="54">
        <f>SUM(AI88:AI89)</f>
        <v>0</v>
      </c>
      <c r="AJ90" s="26"/>
      <c r="AK90" s="26"/>
      <c r="AL90" s="54">
        <f>SUM(AL88:AL89)</f>
        <v>0</v>
      </c>
      <c r="AM90" s="26"/>
      <c r="AN90" s="26"/>
      <c r="AO90" s="54">
        <f>SUM(AO88:AO89)</f>
        <v>20000</v>
      </c>
      <c r="AP90" s="2"/>
    </row>
    <row r="91" spans="1:42" ht="6.65" customHeight="1" x14ac:dyDescent="0.3">
      <c r="B91" s="30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  <c r="AM91" s="25"/>
      <c r="AN91" s="26"/>
      <c r="AO91" s="26"/>
      <c r="AP91" s="2"/>
    </row>
    <row r="92" spans="1:42" ht="15.65" customHeight="1" x14ac:dyDescent="0.3">
      <c r="B92" s="42" t="s">
        <v>113</v>
      </c>
      <c r="C92" s="25"/>
      <c r="D92" s="26"/>
      <c r="E92" s="54"/>
      <c r="G92" s="26"/>
      <c r="H92" s="54"/>
      <c r="I92" s="26"/>
      <c r="J92" s="26"/>
      <c r="K92" s="54"/>
      <c r="L92" s="26"/>
      <c r="M92" s="26"/>
      <c r="N92" s="54"/>
      <c r="O92" s="26"/>
      <c r="P92" s="26"/>
      <c r="Q92" s="54"/>
      <c r="R92" s="26"/>
      <c r="S92" s="26"/>
      <c r="T92" s="54"/>
      <c r="U92" s="26"/>
      <c r="V92" s="26"/>
      <c r="W92" s="54"/>
      <c r="X92" s="26"/>
      <c r="Y92" s="26"/>
      <c r="Z92" s="54"/>
      <c r="AA92" s="26"/>
      <c r="AB92" s="26"/>
      <c r="AC92" s="54"/>
      <c r="AD92" s="26"/>
      <c r="AE92" s="26"/>
      <c r="AF92" s="54"/>
      <c r="AG92" s="26"/>
      <c r="AH92" s="26"/>
      <c r="AI92" s="54"/>
      <c r="AJ92" s="26"/>
      <c r="AK92" s="26"/>
      <c r="AL92" s="54"/>
      <c r="AM92" s="26"/>
      <c r="AN92" s="26"/>
      <c r="AO92" s="54">
        <f>SUM(E92:AL92)</f>
        <v>0</v>
      </c>
      <c r="AP92" s="2"/>
    </row>
    <row r="93" spans="1:42" x14ac:dyDescent="0.3">
      <c r="A93" s="1" t="s">
        <v>105</v>
      </c>
      <c r="B93" s="42" t="s">
        <v>108</v>
      </c>
      <c r="C93" s="26"/>
      <c r="D93" s="26" t="s">
        <v>75</v>
      </c>
      <c r="E93" s="54"/>
      <c r="G93" s="26"/>
      <c r="H93" s="54">
        <v>1287</v>
      </c>
      <c r="J93" s="26"/>
      <c r="K93" s="54"/>
      <c r="L93" s="26"/>
      <c r="M93" s="26"/>
      <c r="N93" s="54"/>
      <c r="O93" s="26"/>
      <c r="P93" s="26"/>
      <c r="Q93" s="54"/>
      <c r="R93" s="26"/>
      <c r="S93" s="26"/>
      <c r="T93" s="54"/>
      <c r="U93" s="26"/>
      <c r="V93" s="26"/>
      <c r="W93" s="54"/>
      <c r="X93" s="26"/>
      <c r="Y93" s="26"/>
      <c r="Z93" s="54"/>
      <c r="AA93" s="26"/>
      <c r="AB93" s="26"/>
      <c r="AC93" s="54"/>
      <c r="AD93" s="26"/>
      <c r="AE93" s="26"/>
      <c r="AF93" s="54"/>
      <c r="AG93" s="26"/>
      <c r="AH93" s="26"/>
      <c r="AI93" s="54">
        <v>2500</v>
      </c>
      <c r="AJ93" s="26"/>
      <c r="AK93" s="26"/>
      <c r="AL93" s="54"/>
      <c r="AM93" s="26"/>
      <c r="AN93" s="26"/>
      <c r="AO93" s="54">
        <f t="shared" ref="AO93:AO95" si="4">SUM(E93:AL93)</f>
        <v>3787</v>
      </c>
    </row>
    <row r="94" spans="1:42" x14ac:dyDescent="0.3">
      <c r="A94" s="1" t="s">
        <v>105</v>
      </c>
      <c r="B94" s="42" t="s">
        <v>109</v>
      </c>
      <c r="C94" s="26"/>
      <c r="D94" s="26" t="s">
        <v>75</v>
      </c>
      <c r="E94" s="54"/>
      <c r="G94" s="26"/>
      <c r="H94" s="54"/>
      <c r="J94" s="26"/>
      <c r="K94" s="54"/>
      <c r="L94" s="26"/>
      <c r="M94" s="26"/>
      <c r="N94" s="54">
        <v>493.5</v>
      </c>
      <c r="O94" s="26"/>
      <c r="P94" s="26"/>
      <c r="Q94" s="54"/>
      <c r="R94" s="26"/>
      <c r="S94" s="26"/>
      <c r="T94" s="54"/>
      <c r="U94" s="26"/>
      <c r="V94" s="26"/>
      <c r="W94" s="54"/>
      <c r="X94" s="26"/>
      <c r="Y94" s="26"/>
      <c r="Z94" s="54"/>
      <c r="AA94" s="26"/>
      <c r="AB94" s="26"/>
      <c r="AC94" s="54"/>
      <c r="AD94" s="26"/>
      <c r="AE94" s="26"/>
      <c r="AF94" s="54"/>
      <c r="AG94" s="26"/>
      <c r="AH94" s="26"/>
      <c r="AI94" s="54"/>
      <c r="AJ94" s="26"/>
      <c r="AK94" s="26"/>
      <c r="AL94" s="54"/>
      <c r="AM94" s="26"/>
      <c r="AN94" s="26"/>
      <c r="AO94" s="54">
        <f t="shared" si="4"/>
        <v>493.5</v>
      </c>
    </row>
    <row r="95" spans="1:42" ht="13.5" thickBot="1" x14ac:dyDescent="0.35">
      <c r="B95" s="65" t="s">
        <v>110</v>
      </c>
      <c r="C95" s="29"/>
      <c r="D95" s="29"/>
      <c r="E95" s="66"/>
      <c r="F95" s="28"/>
      <c r="G95" s="29"/>
      <c r="H95" s="66"/>
      <c r="I95" s="28"/>
      <c r="J95" s="29"/>
      <c r="K95" s="66"/>
      <c r="L95" s="29"/>
      <c r="M95" s="29"/>
      <c r="N95" s="66"/>
      <c r="O95" s="29"/>
      <c r="P95" s="29"/>
      <c r="Q95" s="66"/>
      <c r="R95" s="29"/>
      <c r="S95" s="29"/>
      <c r="T95" s="66"/>
      <c r="U95" s="29"/>
      <c r="V95" s="29"/>
      <c r="W95" s="66"/>
      <c r="X95" s="29"/>
      <c r="Y95" s="29"/>
      <c r="Z95" s="66"/>
      <c r="AA95" s="29"/>
      <c r="AB95" s="29"/>
      <c r="AC95" s="66"/>
      <c r="AD95" s="29"/>
      <c r="AE95" s="29"/>
      <c r="AF95" s="66"/>
      <c r="AG95" s="29"/>
      <c r="AH95" s="29"/>
      <c r="AI95" s="66"/>
      <c r="AJ95" s="29"/>
      <c r="AK95" s="29"/>
      <c r="AL95" s="66"/>
      <c r="AM95" s="29"/>
      <c r="AN95" s="29"/>
      <c r="AO95" s="66">
        <f t="shared" si="4"/>
        <v>0</v>
      </c>
    </row>
    <row r="96" spans="1:42" x14ac:dyDescent="0.3">
      <c r="B96" s="43" t="s">
        <v>150</v>
      </c>
      <c r="C96" s="25"/>
      <c r="D96" s="26"/>
      <c r="E96" s="54">
        <f>SUM(E92:E95)</f>
        <v>0</v>
      </c>
      <c r="G96" s="26"/>
      <c r="H96" s="54">
        <f>SUM(H92:H95)</f>
        <v>1287</v>
      </c>
      <c r="I96" s="26"/>
      <c r="J96" s="26"/>
      <c r="K96" s="54">
        <f>SUM(K92:K95)</f>
        <v>0</v>
      </c>
      <c r="L96" s="26"/>
      <c r="M96" s="26"/>
      <c r="N96" s="54">
        <f>SUM(N92:N95)</f>
        <v>493.5</v>
      </c>
      <c r="O96" s="26"/>
      <c r="P96" s="26"/>
      <c r="Q96" s="54">
        <f>SUM(Q92:Q95)</f>
        <v>0</v>
      </c>
      <c r="R96" s="26"/>
      <c r="S96" s="26"/>
      <c r="T96" s="54">
        <f>SUM(T92:T95)</f>
        <v>0</v>
      </c>
      <c r="U96" s="26"/>
      <c r="V96" s="26"/>
      <c r="W96" s="54">
        <f>SUM(W92:W95)</f>
        <v>0</v>
      </c>
      <c r="X96" s="26"/>
      <c r="Y96" s="26"/>
      <c r="Z96" s="54">
        <f>SUM(Z92:Z95)</f>
        <v>0</v>
      </c>
      <c r="AA96" s="26"/>
      <c r="AB96" s="26"/>
      <c r="AC96" s="54">
        <f>SUM(AC92:AC95)</f>
        <v>0</v>
      </c>
      <c r="AD96" s="26"/>
      <c r="AE96" s="26"/>
      <c r="AF96" s="54">
        <f>SUM(AF92:AF95)</f>
        <v>0</v>
      </c>
      <c r="AG96" s="26"/>
      <c r="AH96" s="26"/>
      <c r="AI96" s="54">
        <f>SUM(AI92:AI95)</f>
        <v>2500</v>
      </c>
      <c r="AJ96" s="26"/>
      <c r="AK96" s="26"/>
      <c r="AL96" s="54">
        <f>SUM(AL92:AL95)</f>
        <v>0</v>
      </c>
      <c r="AM96" s="26"/>
      <c r="AN96" s="26"/>
      <c r="AO96" s="54">
        <f>SUM(AO92:AO95)</f>
        <v>4280.5</v>
      </c>
      <c r="AP96" s="2"/>
    </row>
    <row r="97" spans="1:42" ht="20.75" customHeight="1" x14ac:dyDescent="0.3">
      <c r="B97" s="30"/>
      <c r="C97" s="25"/>
      <c r="D97" s="26"/>
      <c r="E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5"/>
      <c r="AO97" s="25"/>
      <c r="AP97" s="2"/>
    </row>
    <row r="98" spans="1:42" x14ac:dyDescent="0.3">
      <c r="A98" s="1" t="s">
        <v>101</v>
      </c>
      <c r="B98" s="40" t="s">
        <v>114</v>
      </c>
      <c r="C98" s="59" t="s">
        <v>175</v>
      </c>
      <c r="D98" s="2"/>
      <c r="E98" s="2"/>
      <c r="G98" s="2"/>
      <c r="H98" s="2"/>
      <c r="I98" s="2"/>
      <c r="J98" s="2"/>
      <c r="K98" s="2"/>
      <c r="L98" s="2"/>
      <c r="M98" s="2"/>
      <c r="N98" s="2"/>
      <c r="O98" s="2"/>
      <c r="P98" s="26"/>
      <c r="Q98" s="2"/>
      <c r="R98" s="2"/>
      <c r="S98" s="2"/>
      <c r="T98" s="2"/>
      <c r="U98" s="2"/>
      <c r="V98" s="26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12"/>
      <c r="AO98" s="12"/>
      <c r="AP98" s="2"/>
    </row>
    <row r="99" spans="1:42" x14ac:dyDescent="0.3">
      <c r="B99" s="42" t="s">
        <v>104</v>
      </c>
      <c r="C99" s="2"/>
      <c r="D99" s="2"/>
      <c r="E99" s="55"/>
      <c r="G99" s="2"/>
      <c r="H99" s="55"/>
      <c r="I99" s="2"/>
      <c r="J99" s="2"/>
      <c r="K99" s="55"/>
      <c r="L99" s="2"/>
      <c r="M99" s="2"/>
      <c r="N99" s="55"/>
      <c r="O99" s="2"/>
      <c r="P99" s="2"/>
      <c r="Q99" s="55"/>
      <c r="R99" s="2"/>
      <c r="S99" s="2"/>
      <c r="T99" s="55"/>
      <c r="U99" s="2"/>
      <c r="V99" s="26"/>
      <c r="W99" s="55"/>
      <c r="X99" s="2"/>
      <c r="Y99" s="2"/>
      <c r="Z99" s="55"/>
      <c r="AA99" s="2"/>
      <c r="AB99" s="2"/>
      <c r="AC99" s="55"/>
      <c r="AD99" s="2"/>
      <c r="AE99" s="2"/>
      <c r="AF99" s="55"/>
      <c r="AG99" s="2"/>
      <c r="AH99" s="2"/>
      <c r="AI99" s="55"/>
      <c r="AJ99" s="2"/>
      <c r="AK99" s="2"/>
      <c r="AL99" s="55"/>
      <c r="AM99" s="2"/>
      <c r="AN99" s="12"/>
      <c r="AO99" s="55"/>
      <c r="AP99" s="2"/>
    </row>
    <row r="100" spans="1:42" ht="13.5" thickBot="1" x14ac:dyDescent="0.35">
      <c r="B100" s="77" t="s">
        <v>115</v>
      </c>
      <c r="C100" s="27"/>
      <c r="D100" s="27"/>
      <c r="E100" s="66">
        <v>25000</v>
      </c>
      <c r="F100" s="28"/>
      <c r="G100" s="27"/>
      <c r="H100" s="66"/>
      <c r="I100" s="27"/>
      <c r="J100" s="27"/>
      <c r="K100" s="66"/>
      <c r="L100" s="27"/>
      <c r="M100" s="27"/>
      <c r="N100" s="66"/>
      <c r="O100" s="27"/>
      <c r="P100" s="27"/>
      <c r="Q100" s="66"/>
      <c r="R100" s="27"/>
      <c r="S100" s="27"/>
      <c r="T100" s="66"/>
      <c r="U100" s="27"/>
      <c r="V100" s="27"/>
      <c r="W100" s="66"/>
      <c r="X100" s="27"/>
      <c r="Y100" s="27"/>
      <c r="Z100" s="66"/>
      <c r="AA100" s="27"/>
      <c r="AB100" s="27"/>
      <c r="AC100" s="66"/>
      <c r="AD100" s="27"/>
      <c r="AE100" s="27"/>
      <c r="AF100" s="66"/>
      <c r="AG100" s="27"/>
      <c r="AH100" s="27"/>
      <c r="AI100" s="66"/>
      <c r="AJ100" s="27"/>
      <c r="AK100" s="27"/>
      <c r="AL100" s="66"/>
      <c r="AM100" s="27"/>
      <c r="AN100" s="29"/>
      <c r="AO100" s="66">
        <f>SUM($E100:$AL100)</f>
        <v>25000</v>
      </c>
      <c r="AP100" s="2"/>
    </row>
    <row r="101" spans="1:42" x14ac:dyDescent="0.3">
      <c r="B101" s="43" t="s">
        <v>149</v>
      </c>
      <c r="C101" s="25"/>
      <c r="D101" s="25"/>
      <c r="E101" s="54">
        <f>SUM(E99:E100)</f>
        <v>25000</v>
      </c>
      <c r="G101" s="25"/>
      <c r="H101" s="54">
        <f>SUM(H99:H100)</f>
        <v>0</v>
      </c>
      <c r="I101" s="25"/>
      <c r="J101" s="25"/>
      <c r="K101" s="54">
        <f>SUM(K99:K100)</f>
        <v>0</v>
      </c>
      <c r="L101" s="25"/>
      <c r="M101" s="25"/>
      <c r="N101" s="54">
        <f>SUM(N99:N100)</f>
        <v>0</v>
      </c>
      <c r="O101" s="25"/>
      <c r="P101" s="25"/>
      <c r="Q101" s="54">
        <f>SUM(Q99:Q100)</f>
        <v>0</v>
      </c>
      <c r="R101" s="25"/>
      <c r="S101" s="25"/>
      <c r="T101" s="54">
        <f>SUM(T99:T100)</f>
        <v>0</v>
      </c>
      <c r="U101" s="25"/>
      <c r="V101" s="2"/>
      <c r="W101" s="54">
        <f>SUM(W99:W100)</f>
        <v>0</v>
      </c>
      <c r="X101" s="25"/>
      <c r="Y101" s="25"/>
      <c r="Z101" s="54">
        <f>SUM(Z99:Z100)</f>
        <v>0</v>
      </c>
      <c r="AA101" s="25"/>
      <c r="AB101" s="25"/>
      <c r="AC101" s="54">
        <f>SUM(AC99:AC100)</f>
        <v>0</v>
      </c>
      <c r="AD101" s="25"/>
      <c r="AE101" s="25"/>
      <c r="AF101" s="54">
        <f>SUM(AF99:AF100)</f>
        <v>0</v>
      </c>
      <c r="AG101" s="25"/>
      <c r="AH101" s="25"/>
      <c r="AI101" s="54">
        <f>SUM(AI99:AI100)</f>
        <v>0</v>
      </c>
      <c r="AJ101" s="25"/>
      <c r="AK101" s="25"/>
      <c r="AL101" s="54">
        <f>SUM(AL99:AL100)</f>
        <v>0</v>
      </c>
      <c r="AM101" s="25"/>
      <c r="AN101" s="26"/>
      <c r="AO101" s="54">
        <f>SUM(AO99:AO100)</f>
        <v>25000</v>
      </c>
      <c r="AP101" s="2"/>
    </row>
    <row r="102" spans="1:42" ht="19.5" customHeight="1" x14ac:dyDescent="0.3">
      <c r="B102" s="30"/>
      <c r="C102" s="25"/>
      <c r="D102" s="26"/>
      <c r="E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5"/>
      <c r="AO102" s="25"/>
      <c r="AP102" s="2"/>
    </row>
    <row r="103" spans="1:42" ht="18.5" x14ac:dyDescent="0.45">
      <c r="B103" s="69" t="s">
        <v>120</v>
      </c>
      <c r="C103" s="25"/>
      <c r="D103" s="25"/>
      <c r="E103" s="83">
        <f>E101+E96+E90+E86+E77</f>
        <v>25444</v>
      </c>
      <c r="G103" s="25"/>
      <c r="H103" s="83">
        <f>H101+H96+H90+H86+H77</f>
        <v>22884.54</v>
      </c>
      <c r="I103" s="25"/>
      <c r="J103" s="25"/>
      <c r="K103" s="83">
        <f>K101+K96+K90+K86+K77</f>
        <v>444</v>
      </c>
      <c r="L103" s="25"/>
      <c r="M103" s="25"/>
      <c r="N103" s="83">
        <f>N101+N96+N90+N86+N77</f>
        <v>6207.01</v>
      </c>
      <c r="O103" s="25"/>
      <c r="Q103" s="83">
        <f>Q101+Q96+Q90+Q86+Q77</f>
        <v>472.25</v>
      </c>
      <c r="R103" s="25"/>
      <c r="S103" s="25"/>
      <c r="T103" s="83">
        <f>T101+T96+T90+T86+T77</f>
        <v>896</v>
      </c>
      <c r="U103" s="25"/>
      <c r="V103" s="25"/>
      <c r="W103" s="83">
        <f>W101+W96+W90+W86+W77</f>
        <v>457</v>
      </c>
      <c r="X103" s="25"/>
      <c r="Y103" s="25"/>
      <c r="Z103" s="83">
        <f>Z101+Z96+Z90+Z86+Z77</f>
        <v>709.25</v>
      </c>
      <c r="AA103" s="25"/>
      <c r="AB103" s="25"/>
      <c r="AC103" s="83">
        <f>AC101+AC96+AC90+AC86+AC77</f>
        <v>1581</v>
      </c>
      <c r="AD103" s="25"/>
      <c r="AE103" s="25"/>
      <c r="AF103" s="83">
        <f>AF101+AF96+AF90+AF86+AF77</f>
        <v>4178.91</v>
      </c>
      <c r="AG103" s="25"/>
      <c r="AH103" s="25"/>
      <c r="AI103" s="83">
        <f>AI101+AI96+AI90+AI86+AI77</f>
        <v>2957</v>
      </c>
      <c r="AJ103" s="25"/>
      <c r="AK103" s="25"/>
      <c r="AL103" s="83">
        <f>AL101+AL96+AL90+AL86+AL77</f>
        <v>1006.51</v>
      </c>
      <c r="AM103" s="25"/>
      <c r="AN103" s="26"/>
      <c r="AO103" s="83">
        <f>AO101+AO96+AO90+AO86+AO77</f>
        <v>67237.47</v>
      </c>
      <c r="AP103" s="2"/>
    </row>
    <row r="104" spans="1:42" ht="56" customHeight="1" x14ac:dyDescent="0.3">
      <c r="B104" s="30"/>
      <c r="C104" s="25"/>
      <c r="D104" s="26"/>
      <c r="E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5"/>
      <c r="AO104" s="25"/>
      <c r="AP104" s="2"/>
    </row>
    <row r="105" spans="1:42" ht="18.5" x14ac:dyDescent="0.45">
      <c r="B105" s="88" t="s">
        <v>167</v>
      </c>
      <c r="C105" s="89"/>
      <c r="D105" s="90"/>
      <c r="E105" s="91">
        <f>E27</f>
        <v>51890.78</v>
      </c>
      <c r="F105" s="102"/>
      <c r="G105" s="90"/>
      <c r="H105" s="91">
        <f>H27-H53</f>
        <v>32114.400000000001</v>
      </c>
      <c r="I105" s="90"/>
      <c r="J105" s="90"/>
      <c r="K105" s="91">
        <f>K27-K53</f>
        <v>7683.27</v>
      </c>
      <c r="L105" s="90"/>
      <c r="M105" s="90"/>
      <c r="N105" s="91">
        <f>N27-N53</f>
        <v>8055.1500000000005</v>
      </c>
      <c r="O105" s="90"/>
      <c r="P105" s="90"/>
      <c r="Q105" s="91">
        <f>Q27-Q53</f>
        <v>8581.4500000000007</v>
      </c>
      <c r="R105" s="90"/>
      <c r="S105" s="90"/>
      <c r="T105" s="91">
        <f>T27-T53</f>
        <v>3631.4500000000003</v>
      </c>
      <c r="U105" s="90"/>
      <c r="V105" s="90"/>
      <c r="W105" s="91">
        <f>W27-W53</f>
        <v>14981.480000000001</v>
      </c>
      <c r="X105" s="90"/>
      <c r="Y105" s="90"/>
      <c r="Z105" s="91">
        <f>Z27-Z53</f>
        <v>8281.57</v>
      </c>
      <c r="AA105" s="90"/>
      <c r="AB105" s="90"/>
      <c r="AC105" s="91">
        <f>AC27-AC53</f>
        <v>8281.5999999999985</v>
      </c>
      <c r="AD105" s="90"/>
      <c r="AE105" s="90"/>
      <c r="AF105" s="91">
        <f>AF27-AF53</f>
        <v>9316.7900000000009</v>
      </c>
      <c r="AG105" s="90"/>
      <c r="AH105" s="90"/>
      <c r="AI105" s="91">
        <f>AI27-AI53</f>
        <v>48281.38</v>
      </c>
      <c r="AJ105" s="90"/>
      <c r="AK105" s="90"/>
      <c r="AL105" s="91">
        <f>AL27-AL53</f>
        <v>8131.74</v>
      </c>
      <c r="AM105" s="90"/>
      <c r="AN105" s="90"/>
      <c r="AO105" s="91">
        <f>SUM($E105:$AL105)</f>
        <v>209231.06</v>
      </c>
      <c r="AP105" s="2"/>
    </row>
    <row r="106" spans="1:42" ht="19" thickBot="1" x14ac:dyDescent="0.5">
      <c r="A106" s="1" t="s">
        <v>117</v>
      </c>
      <c r="B106" s="92" t="s">
        <v>168</v>
      </c>
      <c r="C106" s="93"/>
      <c r="D106" s="94"/>
      <c r="E106" s="95">
        <f>E103+E69</f>
        <v>32277.09</v>
      </c>
      <c r="F106" s="96"/>
      <c r="G106" s="94"/>
      <c r="H106" s="95">
        <f>H103+H69</f>
        <v>76304.59</v>
      </c>
      <c r="I106" s="94"/>
      <c r="J106" s="94"/>
      <c r="K106" s="95">
        <f>K103+K69</f>
        <v>3058.87</v>
      </c>
      <c r="L106" s="94"/>
      <c r="M106" s="94"/>
      <c r="N106" s="95">
        <f>N103+N69</f>
        <v>6800.0300000000007</v>
      </c>
      <c r="O106" s="94"/>
      <c r="P106" s="94"/>
      <c r="Q106" s="95">
        <f>Q103+Q69</f>
        <v>2405.3199999999997</v>
      </c>
      <c r="R106" s="94"/>
      <c r="S106" s="94"/>
      <c r="T106" s="95">
        <f>T103+T69</f>
        <v>3526.7799999999997</v>
      </c>
      <c r="U106" s="94"/>
      <c r="V106" s="94"/>
      <c r="W106" s="95">
        <f>W103+W69</f>
        <v>994.15</v>
      </c>
      <c r="X106" s="94"/>
      <c r="Y106" s="94"/>
      <c r="Z106" s="95">
        <f>Z103+Z69</f>
        <v>1132.1500000000001</v>
      </c>
      <c r="AA106" s="94"/>
      <c r="AB106" s="94"/>
      <c r="AC106" s="95">
        <f>AC103+AC69</f>
        <v>4304.21</v>
      </c>
      <c r="AD106" s="94"/>
      <c r="AE106" s="94"/>
      <c r="AF106" s="95">
        <f>AF103+AF69</f>
        <v>44649.81</v>
      </c>
      <c r="AG106" s="94"/>
      <c r="AH106" s="94"/>
      <c r="AI106" s="95">
        <f>AI103+AI69</f>
        <v>3186.89</v>
      </c>
      <c r="AJ106" s="94"/>
      <c r="AK106" s="94"/>
      <c r="AL106" s="95">
        <f>AL103+AL69</f>
        <v>4033.8100000000004</v>
      </c>
      <c r="AM106" s="94"/>
      <c r="AN106" s="94"/>
      <c r="AO106" s="95">
        <f>AO103+AO69</f>
        <v>182673.69999999998</v>
      </c>
      <c r="AP106" s="2"/>
    </row>
    <row r="107" spans="1:42" ht="19.5" customHeight="1" x14ac:dyDescent="0.45">
      <c r="B107" s="97" t="s">
        <v>118</v>
      </c>
      <c r="C107" s="98"/>
      <c r="D107" s="99"/>
      <c r="E107" s="100">
        <f>E106-E105</f>
        <v>-19613.689999999999</v>
      </c>
      <c r="F107" s="103"/>
      <c r="G107" s="99"/>
      <c r="H107" s="100">
        <f>H106-H105</f>
        <v>44190.189999999995</v>
      </c>
      <c r="I107" s="99"/>
      <c r="J107" s="99"/>
      <c r="K107" s="100">
        <f>K106-K105</f>
        <v>-4624.4000000000005</v>
      </c>
      <c r="L107" s="99"/>
      <c r="M107" s="99"/>
      <c r="N107" s="100">
        <f>N106-N105</f>
        <v>-1255.1199999999999</v>
      </c>
      <c r="O107" s="99"/>
      <c r="P107" s="90"/>
      <c r="Q107" s="100">
        <f>Q106-Q105</f>
        <v>-6176.130000000001</v>
      </c>
      <c r="R107" s="99"/>
      <c r="S107" s="99"/>
      <c r="T107" s="100">
        <f>T106-T105</f>
        <v>-104.67000000000053</v>
      </c>
      <c r="U107" s="99"/>
      <c r="V107" s="90"/>
      <c r="W107" s="100">
        <f>W106-W105</f>
        <v>-13987.330000000002</v>
      </c>
      <c r="X107" s="99"/>
      <c r="Y107" s="99"/>
      <c r="Z107" s="100">
        <f>Z106-Z105</f>
        <v>-7149.42</v>
      </c>
      <c r="AA107" s="99"/>
      <c r="AB107" s="99"/>
      <c r="AC107" s="100">
        <f>AC106-AC105</f>
        <v>-3977.3899999999985</v>
      </c>
      <c r="AD107" s="99"/>
      <c r="AE107" s="99"/>
      <c r="AF107" s="100">
        <f>AF106-AF105</f>
        <v>35333.019999999997</v>
      </c>
      <c r="AG107" s="99"/>
      <c r="AH107" s="99"/>
      <c r="AI107" s="100">
        <f>AI106-AI105</f>
        <v>-45094.49</v>
      </c>
      <c r="AJ107" s="99"/>
      <c r="AK107" s="99"/>
      <c r="AL107" s="100">
        <f>AL106-AL105</f>
        <v>-4097.9299999999994</v>
      </c>
      <c r="AM107" s="99"/>
      <c r="AN107" s="99"/>
      <c r="AO107" s="100">
        <f>AO106-AO105</f>
        <v>-26557.360000000015</v>
      </c>
      <c r="AP107" s="2"/>
    </row>
    <row r="108" spans="1:42" x14ac:dyDescent="0.3">
      <c r="B108" s="8"/>
      <c r="C108" s="52"/>
      <c r="D108" s="53"/>
      <c r="E108" s="53"/>
      <c r="F108" s="8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26"/>
      <c r="W108" s="53"/>
      <c r="X108" s="53"/>
      <c r="Y108" s="53"/>
      <c r="Z108" s="53"/>
      <c r="AA108" s="53"/>
      <c r="AB108" s="53"/>
      <c r="AC108" s="53"/>
      <c r="AD108" s="53"/>
      <c r="AE108" s="53"/>
      <c r="AF108" s="53"/>
      <c r="AG108" s="53"/>
      <c r="AH108" s="53"/>
      <c r="AI108" s="53"/>
      <c r="AJ108" s="53"/>
      <c r="AK108" s="53"/>
      <c r="AL108" s="53"/>
      <c r="AM108" s="53"/>
      <c r="AN108" s="53"/>
      <c r="AO108" s="53"/>
      <c r="AP108" s="2"/>
    </row>
    <row r="109" spans="1:42" ht="26.15" customHeight="1" x14ac:dyDescent="0.3">
      <c r="B109" s="63" t="s">
        <v>176</v>
      </c>
      <c r="C109" s="2"/>
      <c r="D109" s="2"/>
      <c r="E109" s="25"/>
      <c r="G109" s="25"/>
      <c r="H109" s="25"/>
      <c r="I109" s="25"/>
      <c r="J109" s="25"/>
      <c r="K109" s="25"/>
      <c r="L109" s="25"/>
      <c r="M109" s="25"/>
      <c r="N109" s="25"/>
      <c r="O109" s="25"/>
      <c r="P109" s="53"/>
      <c r="Q109" s="25"/>
      <c r="R109" s="25"/>
      <c r="S109" s="25"/>
      <c r="T109" s="25"/>
      <c r="U109" s="25"/>
      <c r="V109" s="53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  <c r="AO109" s="25"/>
      <c r="AP109" s="2"/>
    </row>
    <row r="110" spans="1:42" x14ac:dyDescent="0.3">
      <c r="B110" s="45" t="s">
        <v>88</v>
      </c>
      <c r="C110" s="2"/>
      <c r="D110" s="2"/>
      <c r="E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53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  <c r="AO110" s="25"/>
      <c r="AP110" s="2"/>
    </row>
    <row r="111" spans="1:42" x14ac:dyDescent="0.3">
      <c r="B111" s="46" t="s">
        <v>91</v>
      </c>
      <c r="C111" s="25"/>
      <c r="D111" s="25"/>
      <c r="E111" s="49">
        <v>5955.2</v>
      </c>
      <c r="G111" s="25"/>
      <c r="H111" s="49">
        <v>9031.4500000000007</v>
      </c>
      <c r="I111" s="2"/>
      <c r="J111" s="25"/>
      <c r="K111" s="49">
        <v>13180.31</v>
      </c>
      <c r="L111" s="2"/>
      <c r="M111" s="25"/>
      <c r="N111" s="49">
        <v>17048.259999999998</v>
      </c>
      <c r="O111" s="2"/>
      <c r="P111" s="2"/>
      <c r="Q111" s="49">
        <v>21832.19</v>
      </c>
      <c r="R111" s="2"/>
      <c r="S111" s="25"/>
      <c r="T111" s="49">
        <v>20680.5</v>
      </c>
      <c r="U111" s="2"/>
      <c r="V111" s="2"/>
      <c r="W111" s="49">
        <v>31328.17</v>
      </c>
      <c r="X111" s="2"/>
      <c r="Y111" s="25"/>
      <c r="Z111" s="49">
        <v>36222.519999999997</v>
      </c>
      <c r="AA111" s="2"/>
      <c r="AB111" s="25"/>
      <c r="AC111" s="49">
        <v>41231.14</v>
      </c>
      <c r="AD111" s="2"/>
      <c r="AE111" s="25"/>
      <c r="AF111" s="49"/>
      <c r="AG111" s="2"/>
      <c r="AH111" s="25"/>
      <c r="AI111" s="49"/>
      <c r="AJ111" s="2"/>
      <c r="AK111" s="25"/>
      <c r="AL111" s="49"/>
      <c r="AN111" s="26"/>
      <c r="AO111" s="49"/>
      <c r="AP111" s="2"/>
    </row>
    <row r="112" spans="1:42" x14ac:dyDescent="0.3">
      <c r="B112" s="46" t="s">
        <v>92</v>
      </c>
      <c r="C112" s="25"/>
      <c r="D112" s="25"/>
      <c r="E112" s="49">
        <v>1.9</v>
      </c>
      <c r="G112" s="25"/>
      <c r="H112" s="49"/>
      <c r="I112" s="60" t="s">
        <v>116</v>
      </c>
      <c r="J112" s="25"/>
      <c r="K112" s="49"/>
      <c r="L112" s="25"/>
      <c r="M112" s="25"/>
      <c r="N112" s="49"/>
      <c r="O112" s="25"/>
      <c r="P112" s="25"/>
      <c r="Q112" s="49"/>
      <c r="R112" s="25"/>
      <c r="S112" s="25"/>
      <c r="T112" s="49"/>
      <c r="U112" s="25"/>
      <c r="V112" s="2"/>
      <c r="W112" s="49"/>
      <c r="X112" s="25"/>
      <c r="Y112" s="25"/>
      <c r="Z112" s="49"/>
      <c r="AA112" s="25"/>
      <c r="AB112" s="25"/>
      <c r="AC112" s="49"/>
      <c r="AD112" s="25"/>
      <c r="AE112" s="25"/>
      <c r="AF112" s="49"/>
      <c r="AG112" s="25"/>
      <c r="AH112" s="25"/>
      <c r="AI112" s="49"/>
      <c r="AJ112" s="25"/>
      <c r="AK112" s="25"/>
      <c r="AL112" s="49"/>
      <c r="AN112" s="26"/>
      <c r="AO112" s="49"/>
      <c r="AP112" s="25"/>
    </row>
    <row r="113" spans="2:42" ht="13.5" thickBot="1" x14ac:dyDescent="0.35">
      <c r="B113" s="47" t="s">
        <v>97</v>
      </c>
      <c r="C113" s="27"/>
      <c r="D113" s="27"/>
      <c r="E113" s="50"/>
      <c r="F113" s="28"/>
      <c r="G113" s="27"/>
      <c r="H113" s="51"/>
      <c r="I113" s="61" t="s">
        <v>116</v>
      </c>
      <c r="J113" s="27"/>
      <c r="K113" s="50"/>
      <c r="L113" s="27"/>
      <c r="M113" s="27"/>
      <c r="N113" s="50"/>
      <c r="O113" s="27"/>
      <c r="P113" s="27"/>
      <c r="Q113" s="50"/>
      <c r="R113" s="27"/>
      <c r="S113" s="27"/>
      <c r="T113" s="50"/>
      <c r="U113" s="27"/>
      <c r="V113" s="27"/>
      <c r="W113" s="50"/>
      <c r="X113" s="27"/>
      <c r="Y113" s="27"/>
      <c r="Z113" s="50"/>
      <c r="AA113" s="27"/>
      <c r="AB113" s="27"/>
      <c r="AC113" s="50"/>
      <c r="AD113" s="27"/>
      <c r="AE113" s="27"/>
      <c r="AF113" s="50"/>
      <c r="AG113" s="27"/>
      <c r="AH113" s="27"/>
      <c r="AI113" s="50"/>
      <c r="AJ113" s="27"/>
      <c r="AK113" s="27"/>
      <c r="AL113" s="50"/>
      <c r="AM113" s="28"/>
      <c r="AN113" s="29"/>
      <c r="AO113" s="50"/>
      <c r="AP113" s="25"/>
    </row>
    <row r="114" spans="2:42" x14ac:dyDescent="0.3">
      <c r="B114" s="48" t="s">
        <v>86</v>
      </c>
      <c r="C114" s="25"/>
      <c r="D114" s="25"/>
      <c r="E114" s="49">
        <f>SUM(E111:E113)</f>
        <v>5957.0999999999995</v>
      </c>
      <c r="G114" s="25"/>
      <c r="H114" s="49">
        <f>SUM(H111:H113)</f>
        <v>9031.4500000000007</v>
      </c>
      <c r="I114" s="25"/>
      <c r="J114" s="25"/>
      <c r="K114" s="49">
        <f>SUM(K111:K113)</f>
        <v>13180.31</v>
      </c>
      <c r="L114" s="25"/>
      <c r="M114" s="25"/>
      <c r="N114" s="49">
        <f>SUM(N111:N113)</f>
        <v>17048.259999999998</v>
      </c>
      <c r="O114" s="25"/>
      <c r="P114" s="25"/>
      <c r="Q114" s="49">
        <f>SUM(Q111:Q113)</f>
        <v>21832.19</v>
      </c>
      <c r="R114" s="25"/>
      <c r="S114" s="25"/>
      <c r="T114" s="49">
        <f>SUM(T111:T113)</f>
        <v>20680.5</v>
      </c>
      <c r="U114" s="25"/>
      <c r="V114" s="25"/>
      <c r="W114" s="49">
        <f>SUM(W111:W113)</f>
        <v>31328.17</v>
      </c>
      <c r="X114" s="25"/>
      <c r="Y114" s="25"/>
      <c r="Z114" s="49">
        <f>SUM(Z111:Z113)</f>
        <v>36222.519999999997</v>
      </c>
      <c r="AA114" s="25"/>
      <c r="AB114" s="25"/>
      <c r="AC114" s="49">
        <f>SUM(AC111:AC113)</f>
        <v>41231.14</v>
      </c>
      <c r="AD114" s="25"/>
      <c r="AE114" s="25"/>
      <c r="AF114" s="49">
        <f>SUM(AF111:AF113)</f>
        <v>0</v>
      </c>
      <c r="AG114" s="25"/>
      <c r="AH114" s="25"/>
      <c r="AI114" s="49">
        <f>SUM(AI111:AI113)</f>
        <v>0</v>
      </c>
      <c r="AJ114" s="25"/>
      <c r="AK114" s="25"/>
      <c r="AL114" s="49">
        <f>SUM(AL111:AL113)</f>
        <v>0</v>
      </c>
      <c r="AN114" s="26"/>
      <c r="AO114" s="49">
        <f>SUM(AO111:AO113)</f>
        <v>0</v>
      </c>
      <c r="AP114" s="25"/>
    </row>
    <row r="115" spans="2:42" ht="36.65" customHeight="1" x14ac:dyDescent="0.3"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25"/>
      <c r="Q115" s="30"/>
      <c r="R115" s="30"/>
      <c r="S115" s="30"/>
      <c r="T115" s="30"/>
      <c r="U115" s="30"/>
      <c r="V115" s="25"/>
      <c r="W115" s="30"/>
      <c r="X115" s="30"/>
      <c r="Y115" s="30"/>
      <c r="Z115" s="30"/>
      <c r="AA115" s="30"/>
      <c r="AB115" s="30"/>
      <c r="AC115" s="30"/>
      <c r="AD115" s="30"/>
      <c r="AE115" s="30"/>
      <c r="AF115" s="30"/>
      <c r="AG115" s="30"/>
      <c r="AH115" s="30"/>
      <c r="AI115" s="30"/>
      <c r="AJ115" s="30"/>
      <c r="AK115" s="30"/>
      <c r="AL115" s="30"/>
      <c r="AM115" s="30"/>
      <c r="AN115" s="26"/>
      <c r="AO115" s="26"/>
      <c r="AP115" s="25"/>
    </row>
    <row r="116" spans="2:42" x14ac:dyDescent="0.3">
      <c r="B116" s="45" t="s">
        <v>89</v>
      </c>
      <c r="C116" s="25"/>
      <c r="D116" s="25"/>
      <c r="E116" s="25"/>
      <c r="G116" s="25"/>
      <c r="H116" s="25"/>
      <c r="I116" s="25"/>
      <c r="J116" s="25"/>
      <c r="K116" s="25"/>
      <c r="L116" s="25"/>
      <c r="M116" s="25"/>
      <c r="N116" s="25"/>
      <c r="O116" s="25"/>
      <c r="P116" s="30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  <c r="AO116" s="25"/>
      <c r="AP116" s="25"/>
    </row>
    <row r="117" spans="2:42" x14ac:dyDescent="0.3">
      <c r="B117" s="46" t="s">
        <v>93</v>
      </c>
      <c r="C117" s="25"/>
      <c r="D117" s="25" t="s">
        <v>75</v>
      </c>
      <c r="E117" s="49">
        <v>8301.75</v>
      </c>
      <c r="G117" s="25"/>
      <c r="H117" s="49">
        <v>8301.81</v>
      </c>
      <c r="I117" s="25"/>
      <c r="J117" s="25"/>
      <c r="K117" s="49">
        <v>8301.8799999999992</v>
      </c>
      <c r="L117" s="25"/>
      <c r="M117" s="25"/>
      <c r="N117" s="49">
        <v>8301.9500000000007</v>
      </c>
      <c r="O117" s="25"/>
      <c r="P117" s="25"/>
      <c r="Q117" s="49">
        <v>8752.02</v>
      </c>
      <c r="R117" s="25"/>
      <c r="S117" s="25"/>
      <c r="T117" s="49">
        <v>8752.09</v>
      </c>
      <c r="U117" s="25"/>
      <c r="V117" s="30"/>
      <c r="W117" s="49">
        <v>8752.17</v>
      </c>
      <c r="X117" s="25"/>
      <c r="Y117" s="25"/>
      <c r="Z117" s="49">
        <v>8752.24</v>
      </c>
      <c r="AA117" s="25"/>
      <c r="AB117" s="25"/>
      <c r="AC117" s="49">
        <v>8752.32</v>
      </c>
      <c r="AD117" s="25"/>
      <c r="AE117" s="25"/>
      <c r="AF117" s="49"/>
      <c r="AG117" s="25"/>
      <c r="AH117" s="25"/>
      <c r="AI117" s="49"/>
      <c r="AJ117" s="25"/>
      <c r="AK117" s="25"/>
      <c r="AL117" s="49"/>
      <c r="AN117" s="26"/>
      <c r="AO117" s="49">
        <f>SUM($E117:$AL117)</f>
        <v>76968.23000000001</v>
      </c>
      <c r="AP117" s="25"/>
    </row>
    <row r="118" spans="2:42" x14ac:dyDescent="0.3">
      <c r="B118" s="46" t="s">
        <v>94</v>
      </c>
      <c r="D118" s="25" t="s">
        <v>75</v>
      </c>
      <c r="E118" s="49">
        <v>24997.24</v>
      </c>
      <c r="G118" s="25"/>
      <c r="H118" s="49">
        <v>6099.7</v>
      </c>
      <c r="I118" s="25"/>
      <c r="J118" s="25"/>
      <c r="K118" s="49">
        <v>8355.7000000000007</v>
      </c>
      <c r="L118" s="25"/>
      <c r="M118" s="25"/>
      <c r="N118" s="49">
        <v>4868</v>
      </c>
      <c r="O118" s="25"/>
      <c r="P118" s="25"/>
      <c r="Q118" s="49">
        <v>7245.75</v>
      </c>
      <c r="R118" s="25"/>
      <c r="S118" s="25"/>
      <c r="T118" s="49">
        <v>9199.75</v>
      </c>
      <c r="U118" s="25"/>
      <c r="V118" s="25"/>
      <c r="W118" s="49">
        <v>11592.75</v>
      </c>
      <c r="X118" s="25"/>
      <c r="Y118" s="25"/>
      <c r="Z118" s="49">
        <v>13733.5</v>
      </c>
      <c r="AA118" s="25"/>
      <c r="AB118" s="25"/>
      <c r="AC118" s="49">
        <v>15002.5</v>
      </c>
      <c r="AD118" s="25"/>
      <c r="AE118" s="25"/>
      <c r="AF118" s="49"/>
      <c r="AG118" s="25"/>
      <c r="AH118" s="25"/>
      <c r="AI118" s="49"/>
      <c r="AJ118" s="25"/>
      <c r="AK118" s="25"/>
      <c r="AL118" s="49"/>
      <c r="AN118" s="26"/>
      <c r="AO118" s="49">
        <f>SUM($E118:$AL118)</f>
        <v>101094.89</v>
      </c>
      <c r="AP118" s="25"/>
    </row>
    <row r="119" spans="2:42" x14ac:dyDescent="0.3">
      <c r="B119" s="46" t="s">
        <v>95</v>
      </c>
      <c r="C119" s="25"/>
      <c r="D119" s="25" t="s">
        <v>75</v>
      </c>
      <c r="E119" s="49"/>
      <c r="G119" s="25"/>
      <c r="H119" s="49"/>
      <c r="I119" s="25"/>
      <c r="J119" s="25"/>
      <c r="K119" s="49">
        <v>4057.55</v>
      </c>
      <c r="L119" s="25"/>
      <c r="M119" s="25"/>
      <c r="N119" s="49"/>
      <c r="O119" s="25"/>
      <c r="P119" s="25"/>
      <c r="Q119" s="49"/>
      <c r="R119" s="25"/>
      <c r="S119" s="25"/>
      <c r="T119" s="49">
        <v>4057.69</v>
      </c>
      <c r="U119" s="25"/>
      <c r="V119" s="25"/>
      <c r="W119" s="49"/>
      <c r="X119" s="25"/>
      <c r="Y119" s="25"/>
      <c r="Z119" s="49"/>
      <c r="AA119" s="25"/>
      <c r="AB119" s="25"/>
      <c r="AC119" s="49">
        <v>4057.75</v>
      </c>
      <c r="AD119" s="25"/>
      <c r="AE119" s="25"/>
      <c r="AF119" s="49"/>
      <c r="AG119" s="25"/>
      <c r="AH119" s="25"/>
      <c r="AI119" s="49"/>
      <c r="AJ119" s="25"/>
      <c r="AK119" s="25"/>
      <c r="AL119" s="49"/>
      <c r="AN119" s="26"/>
      <c r="AO119" s="49">
        <f>SUM($E119:$AL119)</f>
        <v>12172.99</v>
      </c>
      <c r="AP119" s="25"/>
    </row>
    <row r="120" spans="2:42" ht="13.5" thickBot="1" x14ac:dyDescent="0.35">
      <c r="B120" s="47" t="s">
        <v>96</v>
      </c>
      <c r="C120" s="27"/>
      <c r="D120" s="27"/>
      <c r="E120" s="50">
        <v>140753.59</v>
      </c>
      <c r="F120" s="28"/>
      <c r="G120" s="27"/>
      <c r="H120" s="50">
        <v>142907.92000000001</v>
      </c>
      <c r="I120" s="27"/>
      <c r="J120" s="27"/>
      <c r="K120" s="50">
        <v>142379.82</v>
      </c>
      <c r="L120" s="27"/>
      <c r="M120" s="27"/>
      <c r="N120" s="50">
        <v>142116.12</v>
      </c>
      <c r="O120" s="27"/>
      <c r="P120" s="27"/>
      <c r="Q120" s="50">
        <v>142006.9</v>
      </c>
      <c r="R120" s="27"/>
      <c r="S120" s="27"/>
      <c r="T120" s="50">
        <v>144130.56</v>
      </c>
      <c r="U120" s="27"/>
      <c r="V120" s="27"/>
      <c r="W120" s="50">
        <v>144044.45000000001</v>
      </c>
      <c r="X120" s="27"/>
      <c r="Y120" s="27"/>
      <c r="Z120" s="50">
        <v>145975.79</v>
      </c>
      <c r="AA120" s="27"/>
      <c r="AB120" s="27"/>
      <c r="AC120" s="50">
        <v>147488.12</v>
      </c>
      <c r="AD120" s="27"/>
      <c r="AE120" s="27"/>
      <c r="AF120" s="50">
        <v>149253.31</v>
      </c>
      <c r="AG120" s="27"/>
      <c r="AH120" s="27"/>
      <c r="AI120" s="50">
        <v>110178.89</v>
      </c>
      <c r="AJ120" s="27"/>
      <c r="AK120" s="27"/>
      <c r="AL120" s="50">
        <v>110659.42</v>
      </c>
      <c r="AM120" s="28"/>
      <c r="AN120" s="29"/>
      <c r="AO120" s="50">
        <f>SUM($E120:$AL120)</f>
        <v>1661894.89</v>
      </c>
    </row>
    <row r="121" spans="2:42" x14ac:dyDescent="0.3">
      <c r="B121" s="48" t="s">
        <v>90</v>
      </c>
      <c r="C121" s="25"/>
      <c r="D121" s="25"/>
      <c r="E121" s="49">
        <f>SUM(E117:E120)</f>
        <v>174052.58000000002</v>
      </c>
      <c r="G121" s="25"/>
      <c r="H121" s="49">
        <f>SUM(H117:H120)</f>
        <v>157309.43000000002</v>
      </c>
      <c r="I121" s="25"/>
      <c r="J121" s="25"/>
      <c r="K121" s="49">
        <f>SUM(K117:K120)</f>
        <v>163094.95000000001</v>
      </c>
      <c r="L121" s="25"/>
      <c r="M121" s="25"/>
      <c r="N121" s="49">
        <f>SUM(N117:N120)</f>
        <v>155286.07</v>
      </c>
      <c r="O121" s="25"/>
      <c r="P121" s="25"/>
      <c r="Q121" s="49">
        <f>SUM(Q117:Q120)</f>
        <v>158004.66999999998</v>
      </c>
      <c r="R121" s="25"/>
      <c r="S121" s="25"/>
      <c r="T121" s="49">
        <f>SUM(T117:T120)</f>
        <v>166140.09</v>
      </c>
      <c r="U121" s="25"/>
      <c r="V121" s="25"/>
      <c r="W121" s="49">
        <f>SUM(W117:W120)</f>
        <v>164389.37</v>
      </c>
      <c r="X121" s="25"/>
      <c r="Y121" s="25"/>
      <c r="Z121" s="49">
        <f>SUM(Z117:Z120)</f>
        <v>168461.53</v>
      </c>
      <c r="AA121" s="25"/>
      <c r="AB121" s="25"/>
      <c r="AC121" s="49">
        <f>SUM(AC117:AC120)</f>
        <v>175300.69</v>
      </c>
      <c r="AD121" s="25"/>
      <c r="AE121" s="25"/>
      <c r="AF121" s="49">
        <f>SUM(AF117:AF120)</f>
        <v>149253.31</v>
      </c>
      <c r="AG121" s="25"/>
      <c r="AH121" s="25"/>
      <c r="AI121" s="49">
        <f>SUM(AI117:AI120)</f>
        <v>110178.89</v>
      </c>
      <c r="AJ121" s="25"/>
      <c r="AK121" s="25"/>
      <c r="AL121" s="49">
        <f>SUM(AL117:AL120)</f>
        <v>110659.42</v>
      </c>
      <c r="AN121" s="26"/>
      <c r="AO121" s="49">
        <f>SUM(AO117:AO120)</f>
        <v>1852131</v>
      </c>
      <c r="AP121" s="25"/>
    </row>
    <row r="122" spans="2:42" x14ac:dyDescent="0.3"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  <c r="AO122" s="25"/>
      <c r="AP122" s="25"/>
    </row>
    <row r="123" spans="2:42" ht="36.65" customHeight="1" x14ac:dyDescent="0.3">
      <c r="B123" s="67" t="s">
        <v>121</v>
      </c>
      <c r="C123" s="25"/>
      <c r="D123" s="25"/>
      <c r="E123" s="104">
        <f>E121+E114</f>
        <v>180009.68000000002</v>
      </c>
      <c r="F123" s="25"/>
      <c r="G123" s="25"/>
      <c r="H123" s="104">
        <f>H121+H114</f>
        <v>166340.88000000003</v>
      </c>
      <c r="I123" s="25"/>
      <c r="J123" s="25"/>
      <c r="K123" s="104">
        <f>K121+K114</f>
        <v>176275.26</v>
      </c>
      <c r="L123" s="25"/>
      <c r="M123" s="25"/>
      <c r="N123" s="104">
        <f>N121+N114</f>
        <v>172334.33000000002</v>
      </c>
      <c r="O123" s="25"/>
      <c r="P123" s="25"/>
      <c r="Q123" s="104">
        <f>Q121+Q114</f>
        <v>179836.86</v>
      </c>
      <c r="R123" s="25"/>
      <c r="S123" s="25"/>
      <c r="T123" s="104">
        <f>T121+T114</f>
        <v>186820.59</v>
      </c>
      <c r="U123" s="25"/>
      <c r="V123" s="25"/>
      <c r="W123" s="104">
        <f>W121+W114</f>
        <v>195717.53999999998</v>
      </c>
      <c r="X123" s="25"/>
      <c r="Y123" s="25"/>
      <c r="Z123" s="104">
        <f>Z121+Z114</f>
        <v>204684.05</v>
      </c>
      <c r="AA123" s="25"/>
      <c r="AB123" s="25"/>
      <c r="AC123" s="104">
        <f>AC121+AC114</f>
        <v>216531.83000000002</v>
      </c>
      <c r="AD123" s="25"/>
      <c r="AE123" s="25"/>
      <c r="AF123" s="104">
        <f>AF121+AF114</f>
        <v>149253.31</v>
      </c>
      <c r="AG123" s="25"/>
      <c r="AH123" s="25"/>
      <c r="AI123" s="104">
        <f>AI121+AI114</f>
        <v>110178.89</v>
      </c>
      <c r="AJ123" s="25"/>
      <c r="AK123" s="25"/>
      <c r="AL123" s="104">
        <f>AL121+AL114</f>
        <v>110659.42</v>
      </c>
      <c r="AM123" s="25"/>
      <c r="AN123" s="25"/>
      <c r="AO123" s="104">
        <f>AO121+AO114</f>
        <v>1852131</v>
      </c>
      <c r="AP123" s="25"/>
    </row>
    <row r="124" spans="2:42" x14ac:dyDescent="0.3">
      <c r="C124" s="2"/>
      <c r="D124" s="2"/>
      <c r="E124" s="2"/>
      <c r="F124" s="2"/>
      <c r="G124" s="2"/>
      <c r="H124" s="2"/>
      <c r="I124" s="25"/>
      <c r="J124" s="2"/>
      <c r="K124" s="2"/>
      <c r="L124" s="2"/>
      <c r="M124" s="2"/>
      <c r="N124" s="2"/>
      <c r="O124" s="25"/>
      <c r="P124" s="25"/>
      <c r="Q124" s="2"/>
      <c r="R124" s="2"/>
      <c r="S124" s="2"/>
      <c r="T124" s="2"/>
      <c r="U124" s="2"/>
      <c r="V124" s="25"/>
      <c r="W124" s="2"/>
      <c r="X124" s="25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5"/>
      <c r="AN124" s="2"/>
      <c r="AO124" s="2"/>
      <c r="AP124" s="25"/>
    </row>
    <row r="125" spans="2:42" x14ac:dyDescent="0.3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5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</row>
    <row r="126" spans="2:42" x14ac:dyDescent="0.3"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</row>
    <row r="127" spans="2:42" x14ac:dyDescent="0.3"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</row>
    <row r="128" spans="2:42" x14ac:dyDescent="0.3"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</row>
    <row r="129" spans="3:42" x14ac:dyDescent="0.3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</row>
    <row r="130" spans="3:42" x14ac:dyDescent="0.3"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</row>
    <row r="131" spans="3:42" x14ac:dyDescent="0.3"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</row>
    <row r="132" spans="3:42" x14ac:dyDescent="0.3"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</row>
    <row r="133" spans="3:42" x14ac:dyDescent="0.3"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</row>
    <row r="134" spans="3:42" x14ac:dyDescent="0.3"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</row>
    <row r="135" spans="3:42" x14ac:dyDescent="0.3"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</row>
    <row r="136" spans="3:42" x14ac:dyDescent="0.3"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</row>
    <row r="137" spans="3:42" x14ac:dyDescent="0.3"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</row>
    <row r="138" spans="3:42" x14ac:dyDescent="0.3"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</row>
    <row r="139" spans="3:42" x14ac:dyDescent="0.3"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</row>
    <row r="140" spans="3:42" x14ac:dyDescent="0.3">
      <c r="P140" s="2"/>
      <c r="V140" s="2"/>
    </row>
    <row r="141" spans="3:42" x14ac:dyDescent="0.3">
      <c r="V141" s="2"/>
    </row>
  </sheetData>
  <mergeCells count="13">
    <mergeCell ref="AN6:AO6"/>
    <mergeCell ref="V6:W6"/>
    <mergeCell ref="Y6:Z6"/>
    <mergeCell ref="AB6:AC6"/>
    <mergeCell ref="AE6:AF6"/>
    <mergeCell ref="AH6:AI6"/>
    <mergeCell ref="AK6:AL6"/>
    <mergeCell ref="S6:T6"/>
    <mergeCell ref="D6:E6"/>
    <mergeCell ref="G6:H6"/>
    <mergeCell ref="J6:K6"/>
    <mergeCell ref="M6:N6"/>
    <mergeCell ref="P6:Q6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A8481-35DA-4107-848F-F6436072BA7E}">
  <dimension ref="B2:AB38"/>
  <sheetViews>
    <sheetView showGridLines="0" workbookViewId="0">
      <selection activeCell="B30" sqref="B30"/>
    </sheetView>
  </sheetViews>
  <sheetFormatPr defaultColWidth="9.36328125" defaultRowHeight="13" x14ac:dyDescent="0.3"/>
  <cols>
    <col min="1" max="1" width="2.36328125" style="1" customWidth="1"/>
    <col min="2" max="2" width="36.36328125" style="1" bestFit="1" customWidth="1"/>
    <col min="3" max="3" width="1.453125" style="1" customWidth="1"/>
    <col min="4" max="4" width="11" style="1" bestFit="1" customWidth="1"/>
    <col min="5" max="5" width="1.453125" style="1" customWidth="1"/>
    <col min="6" max="6" width="11" style="1" bestFit="1" customWidth="1"/>
    <col min="7" max="7" width="1.453125" style="1" customWidth="1"/>
    <col min="8" max="8" width="11" style="1" bestFit="1" customWidth="1"/>
    <col min="9" max="9" width="1.453125" style="1" customWidth="1"/>
    <col min="10" max="10" width="11" style="1" bestFit="1" customWidth="1"/>
    <col min="11" max="11" width="1.453125" style="1" customWidth="1"/>
    <col min="12" max="12" width="11" style="1" bestFit="1" customWidth="1"/>
    <col min="13" max="13" width="1.453125" style="1" customWidth="1"/>
    <col min="14" max="14" width="11" style="1" bestFit="1" customWidth="1"/>
    <col min="15" max="15" width="1.453125" style="1" customWidth="1"/>
    <col min="16" max="16" width="11" style="1" bestFit="1" customWidth="1"/>
    <col min="17" max="17" width="1.453125" style="1" customWidth="1"/>
    <col min="18" max="18" width="11" style="1" bestFit="1" customWidth="1"/>
    <col min="19" max="19" width="1.453125" style="1" customWidth="1"/>
    <col min="20" max="20" width="11" style="1" bestFit="1" customWidth="1"/>
    <col min="21" max="21" width="1.453125" style="1" customWidth="1"/>
    <col min="22" max="22" width="11" style="1" bestFit="1" customWidth="1"/>
    <col min="23" max="23" width="1.453125" style="1" customWidth="1"/>
    <col min="24" max="24" width="11" style="1" bestFit="1" customWidth="1"/>
    <col min="25" max="25" width="1.453125" style="1" customWidth="1"/>
    <col min="26" max="26" width="11.54296875" style="1" bestFit="1" customWidth="1"/>
    <col min="27" max="16384" width="9.36328125" style="1"/>
  </cols>
  <sheetData>
    <row r="2" spans="2:28" ht="23.5" x14ac:dyDescent="0.55000000000000004">
      <c r="B2" s="19" t="s">
        <v>31</v>
      </c>
    </row>
    <row r="3" spans="2:28" ht="23.5" x14ac:dyDescent="0.55000000000000004">
      <c r="B3" s="19" t="s">
        <v>73</v>
      </c>
    </row>
    <row r="4" spans="2:28" ht="23.5" x14ac:dyDescent="0.55000000000000004">
      <c r="B4" s="19" t="s">
        <v>74</v>
      </c>
    </row>
    <row r="6" spans="2:28" x14ac:dyDescent="0.3">
      <c r="D6" s="23" t="s">
        <v>33</v>
      </c>
      <c r="E6" s="23"/>
      <c r="F6" s="23" t="s">
        <v>34</v>
      </c>
      <c r="G6" s="23"/>
      <c r="H6" s="23" t="s">
        <v>35</v>
      </c>
      <c r="I6" s="23"/>
      <c r="J6" s="23" t="s">
        <v>36</v>
      </c>
      <c r="K6" s="23"/>
      <c r="L6" s="23" t="s">
        <v>37</v>
      </c>
      <c r="M6" s="23"/>
      <c r="N6" s="23" t="s">
        <v>38</v>
      </c>
      <c r="O6" s="23"/>
      <c r="P6" s="23" t="s">
        <v>39</v>
      </c>
      <c r="Q6" s="23"/>
      <c r="R6" s="23" t="s">
        <v>40</v>
      </c>
      <c r="S6" s="23"/>
      <c r="T6" s="23" t="s">
        <v>41</v>
      </c>
      <c r="U6" s="23"/>
      <c r="V6" s="23" t="s">
        <v>42</v>
      </c>
      <c r="W6" s="23"/>
      <c r="X6" s="23" t="s">
        <v>43</v>
      </c>
      <c r="Y6" s="23"/>
      <c r="Z6" s="23" t="s">
        <v>44</v>
      </c>
    </row>
    <row r="7" spans="2:28" x14ac:dyDescent="0.3">
      <c r="B7" s="8" t="s">
        <v>47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2:28" x14ac:dyDescent="0.3">
      <c r="B8" s="9" t="s">
        <v>67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2:28" x14ac:dyDescent="0.3">
      <c r="B9" s="10" t="s">
        <v>68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2:28" x14ac:dyDescent="0.3">
      <c r="B10" s="11" t="s">
        <v>48</v>
      </c>
      <c r="D10" s="6">
        <v>5955.2</v>
      </c>
      <c r="E10" s="2"/>
      <c r="F10" s="6">
        <v>9031.4500000000007</v>
      </c>
      <c r="G10" s="2"/>
      <c r="H10" s="6"/>
      <c r="I10" s="2"/>
      <c r="J10" s="6"/>
      <c r="K10" s="2"/>
      <c r="L10" s="6"/>
      <c r="M10" s="2"/>
      <c r="N10" s="6"/>
      <c r="O10" s="2"/>
      <c r="P10" s="6"/>
      <c r="Q10" s="2"/>
      <c r="R10" s="6"/>
      <c r="S10" s="2"/>
      <c r="T10" s="6"/>
      <c r="U10" s="2"/>
      <c r="V10" s="6"/>
      <c r="W10" s="2"/>
      <c r="X10" s="6"/>
      <c r="Y10" s="2"/>
      <c r="Z10" s="6"/>
      <c r="AA10" s="2"/>
      <c r="AB10" s="2"/>
    </row>
    <row r="11" spans="2:28" x14ac:dyDescent="0.3">
      <c r="B11" s="11" t="s">
        <v>49</v>
      </c>
      <c r="D11" s="7">
        <v>1.9</v>
      </c>
      <c r="E11" s="2"/>
      <c r="F11" s="7">
        <v>1.9</v>
      </c>
      <c r="G11" s="2"/>
      <c r="H11" s="7"/>
      <c r="I11" s="2"/>
      <c r="J11" s="7"/>
      <c r="K11" s="2"/>
      <c r="L11" s="7"/>
      <c r="M11" s="2"/>
      <c r="N11" s="7"/>
      <c r="O11" s="2"/>
      <c r="P11" s="7"/>
      <c r="Q11" s="2"/>
      <c r="R11" s="7"/>
      <c r="S11" s="2"/>
      <c r="T11" s="7"/>
      <c r="U11" s="2"/>
      <c r="V11" s="7"/>
      <c r="W11" s="2"/>
      <c r="X11" s="7"/>
      <c r="Y11" s="2"/>
      <c r="Z11" s="7"/>
      <c r="AA11" s="2"/>
      <c r="AB11" s="2"/>
    </row>
    <row r="12" spans="2:28" x14ac:dyDescent="0.3">
      <c r="B12" s="10" t="s">
        <v>50</v>
      </c>
      <c r="D12" s="2">
        <f>SUM(D10:D11)</f>
        <v>5957.0999999999995</v>
      </c>
      <c r="E12" s="2"/>
      <c r="F12" s="2">
        <f>SUM(F10:F11)</f>
        <v>9033.35</v>
      </c>
      <c r="G12" s="2"/>
      <c r="H12" s="2">
        <f>SUM(H10:H11)</f>
        <v>0</v>
      </c>
      <c r="I12" s="2"/>
      <c r="J12" s="2">
        <f>SUM(J10:J11)</f>
        <v>0</v>
      </c>
      <c r="K12" s="2"/>
      <c r="L12" s="2">
        <f>SUM(L10:L11)</f>
        <v>0</v>
      </c>
      <c r="M12" s="2"/>
      <c r="N12" s="2">
        <f>SUM(N10:N11)</f>
        <v>0</v>
      </c>
      <c r="O12" s="2"/>
      <c r="P12" s="2">
        <f>SUM(P10:P11)</f>
        <v>0</v>
      </c>
      <c r="Q12" s="2"/>
      <c r="R12" s="2">
        <f>SUM(R10:R11)</f>
        <v>0</v>
      </c>
      <c r="S12" s="2"/>
      <c r="T12" s="2">
        <f>SUM(T10:T11)</f>
        <v>0</v>
      </c>
      <c r="U12" s="2"/>
      <c r="V12" s="2">
        <f>SUM(V10:V11)</f>
        <v>0</v>
      </c>
      <c r="W12" s="2"/>
      <c r="X12" s="2">
        <f>SUM(X10:X11)</f>
        <v>0</v>
      </c>
      <c r="Y12" s="2"/>
      <c r="Z12" s="2">
        <f>SUM(Z10:Z11)</f>
        <v>0</v>
      </c>
      <c r="AA12" s="2"/>
      <c r="AB12" s="2"/>
    </row>
    <row r="13" spans="2:28" x14ac:dyDescent="0.3">
      <c r="B13" s="10" t="s">
        <v>65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spans="2:28" x14ac:dyDescent="0.3">
      <c r="B14" s="11" t="s">
        <v>66</v>
      </c>
      <c r="D14" s="7"/>
      <c r="E14" s="2"/>
      <c r="F14" s="7"/>
      <c r="G14" s="2"/>
      <c r="H14" s="7"/>
      <c r="I14" s="2"/>
      <c r="J14" s="7"/>
      <c r="K14" s="2"/>
      <c r="L14" s="7"/>
      <c r="M14" s="2"/>
      <c r="N14" s="7"/>
      <c r="O14" s="2"/>
      <c r="P14" s="7"/>
      <c r="Q14" s="2"/>
      <c r="R14" s="7"/>
      <c r="S14" s="2"/>
      <c r="T14" s="7"/>
      <c r="U14" s="2"/>
      <c r="V14" s="7"/>
      <c r="W14" s="2"/>
      <c r="X14" s="7"/>
      <c r="Y14" s="2"/>
      <c r="Z14" s="7"/>
      <c r="AA14" s="2"/>
      <c r="AB14" s="2"/>
    </row>
    <row r="15" spans="2:28" x14ac:dyDescent="0.3">
      <c r="B15" s="10" t="s">
        <v>51</v>
      </c>
      <c r="D15" s="4">
        <f>D14</f>
        <v>0</v>
      </c>
      <c r="E15" s="2"/>
      <c r="F15" s="4">
        <f>F14</f>
        <v>0</v>
      </c>
      <c r="G15" s="2"/>
      <c r="H15" s="4">
        <f>H14</f>
        <v>0</v>
      </c>
      <c r="I15" s="2"/>
      <c r="J15" s="4">
        <f>J14</f>
        <v>0</v>
      </c>
      <c r="K15" s="2"/>
      <c r="L15" s="4">
        <f>L14</f>
        <v>0</v>
      </c>
      <c r="M15" s="2"/>
      <c r="N15" s="4">
        <f>N14</f>
        <v>0</v>
      </c>
      <c r="O15" s="2"/>
      <c r="P15" s="4">
        <f>P14</f>
        <v>0</v>
      </c>
      <c r="Q15" s="2"/>
      <c r="R15" s="4">
        <f>R14</f>
        <v>0</v>
      </c>
      <c r="S15" s="2"/>
      <c r="T15" s="4">
        <f>T14</f>
        <v>0</v>
      </c>
      <c r="U15" s="2"/>
      <c r="V15" s="4">
        <f>V14</f>
        <v>0</v>
      </c>
      <c r="W15" s="2"/>
      <c r="X15" s="4">
        <f>X14</f>
        <v>0</v>
      </c>
      <c r="Y15" s="2"/>
      <c r="Z15" s="4">
        <f>Z14</f>
        <v>0</v>
      </c>
      <c r="AA15" s="2"/>
      <c r="AB15" s="2"/>
    </row>
    <row r="16" spans="2:28" x14ac:dyDescent="0.3">
      <c r="B16" s="9" t="s">
        <v>52</v>
      </c>
      <c r="D16" s="4">
        <f>D15+D12</f>
        <v>5957.0999999999995</v>
      </c>
      <c r="E16" s="2"/>
      <c r="F16" s="4">
        <f>F15+F12</f>
        <v>9033.35</v>
      </c>
      <c r="G16" s="2"/>
      <c r="H16" s="4">
        <f>H15+H12</f>
        <v>0</v>
      </c>
      <c r="I16" s="2"/>
      <c r="J16" s="4">
        <f>J15+J12</f>
        <v>0</v>
      </c>
      <c r="K16" s="2"/>
      <c r="L16" s="4">
        <f>L15+L12</f>
        <v>0</v>
      </c>
      <c r="M16" s="2"/>
      <c r="N16" s="4">
        <f>N15+N12</f>
        <v>0</v>
      </c>
      <c r="O16" s="2"/>
      <c r="P16" s="4">
        <f>P15+P12</f>
        <v>0</v>
      </c>
      <c r="Q16" s="2"/>
      <c r="R16" s="4">
        <f>R15+R12</f>
        <v>0</v>
      </c>
      <c r="S16" s="2"/>
      <c r="T16" s="4">
        <f>T15+T12</f>
        <v>0</v>
      </c>
      <c r="U16" s="2"/>
      <c r="V16" s="4">
        <f>V15+V12</f>
        <v>0</v>
      </c>
      <c r="W16" s="2"/>
      <c r="X16" s="4">
        <f>X15+X12</f>
        <v>0</v>
      </c>
      <c r="Y16" s="2"/>
      <c r="Z16" s="4">
        <f>Z15+Z12</f>
        <v>0</v>
      </c>
      <c r="AA16" s="2"/>
      <c r="AB16" s="2"/>
    </row>
    <row r="17" spans="2:28" ht="13.5" thickBot="1" x14ac:dyDescent="0.35">
      <c r="B17" s="8" t="s">
        <v>53</v>
      </c>
      <c r="D17" s="24">
        <f>D16</f>
        <v>5957.0999999999995</v>
      </c>
      <c r="E17" s="17"/>
      <c r="F17" s="24">
        <f>F16</f>
        <v>9033.35</v>
      </c>
      <c r="G17" s="17"/>
      <c r="H17" s="24">
        <f>H16</f>
        <v>0</v>
      </c>
      <c r="I17" s="17"/>
      <c r="J17" s="24">
        <f>J16</f>
        <v>0</v>
      </c>
      <c r="K17" s="17"/>
      <c r="L17" s="24">
        <f>L16</f>
        <v>0</v>
      </c>
      <c r="M17" s="17"/>
      <c r="N17" s="24">
        <f>N16</f>
        <v>0</v>
      </c>
      <c r="O17" s="17"/>
      <c r="P17" s="24">
        <f>P16</f>
        <v>0</v>
      </c>
      <c r="Q17" s="17"/>
      <c r="R17" s="24">
        <f>R16</f>
        <v>0</v>
      </c>
      <c r="S17" s="17"/>
      <c r="T17" s="24">
        <f>T16</f>
        <v>0</v>
      </c>
      <c r="U17" s="17"/>
      <c r="V17" s="24">
        <f>V16</f>
        <v>0</v>
      </c>
      <c r="W17" s="17"/>
      <c r="X17" s="24">
        <f>X16</f>
        <v>0</v>
      </c>
      <c r="Y17" s="17"/>
      <c r="Z17" s="24">
        <f>Z16</f>
        <v>0</v>
      </c>
      <c r="AA17" s="2"/>
      <c r="AB17" s="2"/>
    </row>
    <row r="18" spans="2:28" ht="13.5" thickTop="1" x14ac:dyDescent="0.3">
      <c r="B18" s="8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spans="2:28" x14ac:dyDescent="0.3">
      <c r="B19" s="8" t="s">
        <v>54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spans="2:28" x14ac:dyDescent="0.3">
      <c r="B20" s="9" t="s">
        <v>55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spans="2:28" x14ac:dyDescent="0.3">
      <c r="B21" s="10" t="s">
        <v>56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spans="2:28" x14ac:dyDescent="0.3">
      <c r="B22" s="11" t="s">
        <v>57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spans="2:28" ht="14.5" x14ac:dyDescent="0.45">
      <c r="B23" s="20" t="s">
        <v>58</v>
      </c>
      <c r="D23" s="22">
        <v>1338.09</v>
      </c>
      <c r="E23" s="2"/>
      <c r="F23" s="22">
        <v>834.34</v>
      </c>
      <c r="G23" s="2"/>
      <c r="H23" s="22"/>
      <c r="I23" s="2"/>
      <c r="J23" s="22"/>
      <c r="K23" s="2"/>
      <c r="L23" s="22"/>
      <c r="M23" s="2"/>
      <c r="N23" s="22"/>
      <c r="O23" s="2"/>
      <c r="P23" s="22"/>
      <c r="Q23" s="2"/>
      <c r="R23" s="22"/>
      <c r="S23" s="2"/>
      <c r="T23" s="22"/>
      <c r="U23" s="2"/>
      <c r="V23" s="22"/>
      <c r="W23" s="2"/>
      <c r="X23" s="22"/>
      <c r="Y23" s="2"/>
      <c r="Z23" s="22"/>
      <c r="AA23" s="2"/>
      <c r="AB23" s="2"/>
    </row>
    <row r="24" spans="2:28" x14ac:dyDescent="0.3">
      <c r="B24" s="11" t="s">
        <v>59</v>
      </c>
      <c r="D24" s="2">
        <f>SUM(D23)</f>
        <v>1338.09</v>
      </c>
      <c r="E24" s="2"/>
      <c r="F24" s="2">
        <f>SUM(F23)</f>
        <v>834.34</v>
      </c>
      <c r="G24" s="2"/>
      <c r="H24" s="2">
        <f>SUM(H23)</f>
        <v>0</v>
      </c>
      <c r="I24" s="2"/>
      <c r="J24" s="2">
        <f>SUM(J23)</f>
        <v>0</v>
      </c>
      <c r="K24" s="2"/>
      <c r="L24" s="2">
        <f>SUM(L23)</f>
        <v>0</v>
      </c>
      <c r="M24" s="2"/>
      <c r="N24" s="2">
        <f>SUM(N23)</f>
        <v>0</v>
      </c>
      <c r="O24" s="2"/>
      <c r="P24" s="2">
        <f>SUM(P23)</f>
        <v>0</v>
      </c>
      <c r="Q24" s="2"/>
      <c r="R24" s="2">
        <f>SUM(R23)</f>
        <v>0</v>
      </c>
      <c r="S24" s="2"/>
      <c r="T24" s="2">
        <f>SUM(T23)</f>
        <v>0</v>
      </c>
      <c r="U24" s="2"/>
      <c r="V24" s="2">
        <f>SUM(V23)</f>
        <v>0</v>
      </c>
      <c r="W24" s="2"/>
      <c r="X24" s="2">
        <f>SUM(X23)</f>
        <v>0</v>
      </c>
      <c r="Y24" s="2"/>
      <c r="Z24" s="2">
        <f>SUM(Z23)</f>
        <v>0</v>
      </c>
      <c r="AA24" s="2"/>
      <c r="AB24" s="2"/>
    </row>
    <row r="25" spans="2:28" x14ac:dyDescent="0.3">
      <c r="B25" s="11" t="s">
        <v>70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spans="2:28" ht="14.5" x14ac:dyDescent="0.45">
      <c r="B26" s="20" t="s">
        <v>69</v>
      </c>
      <c r="D26" s="22"/>
      <c r="E26" s="2"/>
      <c r="F26" s="22">
        <v>25000</v>
      </c>
      <c r="G26" s="2"/>
      <c r="H26" s="22"/>
      <c r="I26" s="2"/>
      <c r="J26" s="22"/>
      <c r="K26" s="2"/>
      <c r="L26" s="22"/>
      <c r="M26" s="2"/>
      <c r="N26" s="22"/>
      <c r="O26" s="2"/>
      <c r="P26" s="22"/>
      <c r="Q26" s="2"/>
      <c r="R26" s="22"/>
      <c r="S26" s="2"/>
      <c r="T26" s="22"/>
      <c r="U26" s="2"/>
      <c r="V26" s="22"/>
      <c r="W26" s="2"/>
      <c r="X26" s="22"/>
      <c r="Y26" s="2"/>
      <c r="Z26" s="22"/>
      <c r="AA26" s="2"/>
      <c r="AB26" s="2"/>
    </row>
    <row r="27" spans="2:28" x14ac:dyDescent="0.3">
      <c r="B27" s="11" t="s">
        <v>60</v>
      </c>
      <c r="D27" s="3">
        <f>SUM(D26)</f>
        <v>0</v>
      </c>
      <c r="E27" s="2"/>
      <c r="F27" s="3">
        <f>SUM(F26)</f>
        <v>25000</v>
      </c>
      <c r="G27" s="2"/>
      <c r="H27" s="3">
        <f>SUM(H26)</f>
        <v>0</v>
      </c>
      <c r="I27" s="2"/>
      <c r="J27" s="3">
        <f>SUM(J26)</f>
        <v>0</v>
      </c>
      <c r="K27" s="2"/>
      <c r="L27" s="3">
        <f>SUM(L26)</f>
        <v>0</v>
      </c>
      <c r="M27" s="2"/>
      <c r="N27" s="3">
        <f>SUM(N26)</f>
        <v>0</v>
      </c>
      <c r="O27" s="2"/>
      <c r="P27" s="3">
        <f>SUM(P26)</f>
        <v>0</v>
      </c>
      <c r="Q27" s="2"/>
      <c r="R27" s="3">
        <f>SUM(R26)</f>
        <v>0</v>
      </c>
      <c r="S27" s="2"/>
      <c r="T27" s="3">
        <f>SUM(T26)</f>
        <v>0</v>
      </c>
      <c r="U27" s="2"/>
      <c r="V27" s="3">
        <f>SUM(V26)</f>
        <v>0</v>
      </c>
      <c r="W27" s="2"/>
      <c r="X27" s="3">
        <f>SUM(X26)</f>
        <v>0</v>
      </c>
      <c r="Y27" s="2"/>
      <c r="Z27" s="3">
        <f>SUM(Z26)</f>
        <v>0</v>
      </c>
      <c r="AA27" s="2"/>
      <c r="AB27" s="2"/>
    </row>
    <row r="28" spans="2:28" x14ac:dyDescent="0.3">
      <c r="B28" s="10" t="s">
        <v>61</v>
      </c>
      <c r="D28" s="3">
        <f>D27+D24</f>
        <v>1338.09</v>
      </c>
      <c r="E28" s="2"/>
      <c r="F28" s="3">
        <f>F27+F24</f>
        <v>25834.34</v>
      </c>
      <c r="G28" s="2"/>
      <c r="H28" s="3">
        <f>H27+H24</f>
        <v>0</v>
      </c>
      <c r="I28" s="2"/>
      <c r="J28" s="3">
        <f>J27+J24</f>
        <v>0</v>
      </c>
      <c r="K28" s="2"/>
      <c r="L28" s="3">
        <f>L27+L24</f>
        <v>0</v>
      </c>
      <c r="M28" s="2"/>
      <c r="N28" s="3">
        <f>N27+N24</f>
        <v>0</v>
      </c>
      <c r="O28" s="2"/>
      <c r="P28" s="3">
        <f>P27+P24</f>
        <v>0</v>
      </c>
      <c r="Q28" s="2"/>
      <c r="R28" s="3">
        <f>R27+R24</f>
        <v>0</v>
      </c>
      <c r="S28" s="2"/>
      <c r="T28" s="3">
        <f>T27+T24</f>
        <v>0</v>
      </c>
      <c r="U28" s="2"/>
      <c r="V28" s="3">
        <f>V27+V24</f>
        <v>0</v>
      </c>
      <c r="W28" s="2"/>
      <c r="X28" s="3">
        <f>X27+X24</f>
        <v>0</v>
      </c>
      <c r="Y28" s="2"/>
      <c r="Z28" s="3">
        <f>Z27+Z24</f>
        <v>0</v>
      </c>
      <c r="AA28" s="2"/>
      <c r="AB28" s="2"/>
    </row>
    <row r="29" spans="2:28" x14ac:dyDescent="0.3">
      <c r="B29" s="8" t="s">
        <v>62</v>
      </c>
      <c r="D29" s="2">
        <f>D28</f>
        <v>1338.09</v>
      </c>
      <c r="E29" s="2"/>
      <c r="F29" s="2">
        <f>F28</f>
        <v>25834.34</v>
      </c>
      <c r="G29" s="2"/>
      <c r="H29" s="2">
        <f>H28</f>
        <v>0</v>
      </c>
      <c r="I29" s="2"/>
      <c r="J29" s="2">
        <f>J28</f>
        <v>0</v>
      </c>
      <c r="K29" s="2"/>
      <c r="L29" s="2">
        <f>L28</f>
        <v>0</v>
      </c>
      <c r="M29" s="2"/>
      <c r="N29" s="2">
        <f>N28</f>
        <v>0</v>
      </c>
      <c r="O29" s="2"/>
      <c r="P29" s="2">
        <f>P28</f>
        <v>0</v>
      </c>
      <c r="Q29" s="2"/>
      <c r="R29" s="2">
        <f>R28</f>
        <v>0</v>
      </c>
      <c r="S29" s="2"/>
      <c r="T29" s="2">
        <f>T28</f>
        <v>0</v>
      </c>
      <c r="U29" s="2"/>
      <c r="V29" s="2">
        <f>V28</f>
        <v>0</v>
      </c>
      <c r="W29" s="2"/>
      <c r="X29" s="2">
        <f>X28</f>
        <v>0</v>
      </c>
      <c r="Y29" s="2"/>
      <c r="Z29" s="2">
        <f>Z28</f>
        <v>0</v>
      </c>
      <c r="AA29" s="2"/>
      <c r="AB29" s="2"/>
    </row>
    <row r="30" spans="2:28" x14ac:dyDescent="0.3">
      <c r="B30" s="8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spans="2:28" x14ac:dyDescent="0.3">
      <c r="B31" s="9" t="s">
        <v>72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spans="2:28" x14ac:dyDescent="0.3">
      <c r="B32" s="10" t="s">
        <v>71</v>
      </c>
      <c r="D32" s="6"/>
      <c r="E32" s="2"/>
      <c r="F32" s="6"/>
      <c r="G32" s="2"/>
      <c r="H32" s="6"/>
      <c r="I32" s="2"/>
      <c r="J32" s="6"/>
      <c r="K32" s="2"/>
      <c r="L32" s="6"/>
      <c r="M32" s="2"/>
      <c r="N32" s="6"/>
      <c r="O32" s="2"/>
      <c r="P32" s="6"/>
      <c r="Q32" s="2"/>
      <c r="R32" s="6"/>
      <c r="S32" s="2"/>
      <c r="T32" s="6"/>
      <c r="U32" s="2"/>
      <c r="V32" s="6"/>
      <c r="W32" s="2"/>
      <c r="X32" s="6"/>
      <c r="Y32" s="2"/>
      <c r="Z32" s="6"/>
      <c r="AA32" s="2"/>
      <c r="AB32" s="2"/>
    </row>
    <row r="33" spans="2:28" x14ac:dyDescent="0.3">
      <c r="B33" s="10" t="s">
        <v>28</v>
      </c>
      <c r="D33" s="7"/>
      <c r="E33" s="2"/>
      <c r="F33" s="7"/>
      <c r="G33" s="2"/>
      <c r="H33" s="7"/>
      <c r="I33" s="2"/>
      <c r="J33" s="7"/>
      <c r="K33" s="2"/>
      <c r="L33" s="7"/>
      <c r="M33" s="2"/>
      <c r="N33" s="7"/>
      <c r="O33" s="2"/>
      <c r="P33" s="7"/>
      <c r="Q33" s="2"/>
      <c r="R33" s="7"/>
      <c r="S33" s="2"/>
      <c r="T33" s="7"/>
      <c r="U33" s="2"/>
      <c r="V33" s="7"/>
      <c r="W33" s="2"/>
      <c r="X33" s="7"/>
      <c r="Y33" s="2"/>
      <c r="Z33" s="7"/>
      <c r="AA33" s="2"/>
      <c r="AB33" s="2"/>
    </row>
    <row r="34" spans="2:28" ht="14.5" x14ac:dyDescent="0.45">
      <c r="B34" s="9" t="s">
        <v>63</v>
      </c>
      <c r="D34" s="21">
        <f>SUM(D32:D33)</f>
        <v>0</v>
      </c>
      <c r="E34" s="2"/>
      <c r="F34" s="21">
        <f>SUM(F32:F33)</f>
        <v>0</v>
      </c>
      <c r="G34" s="2"/>
      <c r="H34" s="21">
        <f>SUM(H32:H33)</f>
        <v>0</v>
      </c>
      <c r="I34" s="2"/>
      <c r="J34" s="21">
        <f>SUM(J32:J33)</f>
        <v>0</v>
      </c>
      <c r="K34" s="2"/>
      <c r="L34" s="21">
        <f>SUM(L32:L33)</f>
        <v>0</v>
      </c>
      <c r="M34" s="2"/>
      <c r="N34" s="21">
        <f>SUM(N32:N33)</f>
        <v>0</v>
      </c>
      <c r="O34" s="2"/>
      <c r="P34" s="21">
        <f>SUM(P32:P33)</f>
        <v>0</v>
      </c>
      <c r="Q34" s="2"/>
      <c r="R34" s="21">
        <f>SUM(R32:R33)</f>
        <v>0</v>
      </c>
      <c r="S34" s="2"/>
      <c r="T34" s="21">
        <f>SUM(T32:T33)</f>
        <v>0</v>
      </c>
      <c r="U34" s="2"/>
      <c r="V34" s="21">
        <f>SUM(V32:V33)</f>
        <v>0</v>
      </c>
      <c r="W34" s="2"/>
      <c r="X34" s="21">
        <f>SUM(X32:X33)</f>
        <v>0</v>
      </c>
      <c r="Y34" s="2"/>
      <c r="Z34" s="21">
        <f>SUM(Z32:Z33)</f>
        <v>0</v>
      </c>
      <c r="AA34" s="2"/>
      <c r="AB34" s="2"/>
    </row>
    <row r="35" spans="2:28" ht="13.5" thickBot="1" x14ac:dyDescent="0.35">
      <c r="B35" s="8" t="s">
        <v>64</v>
      </c>
      <c r="D35" s="16">
        <f>D34+D29</f>
        <v>1338.09</v>
      </c>
      <c r="E35" s="2"/>
      <c r="F35" s="16">
        <f>F34+F29</f>
        <v>25834.34</v>
      </c>
      <c r="G35" s="2"/>
      <c r="H35" s="16">
        <f>H34+H29</f>
        <v>0</v>
      </c>
      <c r="I35" s="2"/>
      <c r="J35" s="16">
        <f>J34+J29</f>
        <v>0</v>
      </c>
      <c r="K35" s="2"/>
      <c r="L35" s="16">
        <f>L34+L29</f>
        <v>0</v>
      </c>
      <c r="M35" s="2"/>
      <c r="N35" s="16">
        <f>N34+N29</f>
        <v>0</v>
      </c>
      <c r="O35" s="2"/>
      <c r="P35" s="16">
        <f>P34+P29</f>
        <v>0</v>
      </c>
      <c r="Q35" s="2"/>
      <c r="R35" s="16">
        <f>R34+R29</f>
        <v>0</v>
      </c>
      <c r="S35" s="2"/>
      <c r="T35" s="16">
        <f>T34+T29</f>
        <v>0</v>
      </c>
      <c r="U35" s="2"/>
      <c r="V35" s="16">
        <f>V34+V29</f>
        <v>0</v>
      </c>
      <c r="W35" s="2"/>
      <c r="X35" s="16">
        <f>X34+X29</f>
        <v>0</v>
      </c>
      <c r="Y35" s="2"/>
      <c r="Z35" s="16">
        <f>Z34+Z29</f>
        <v>0</v>
      </c>
      <c r="AA35" s="2"/>
      <c r="AB35" s="2"/>
    </row>
    <row r="36" spans="2:28" ht="13.5" thickTop="1" x14ac:dyDescent="0.3"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spans="2:28" x14ac:dyDescent="0.3"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spans="2:28" x14ac:dyDescent="0.3"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A41F3-57B3-4A63-9D85-0FB9B127B491}">
  <dimension ref="B2:AO62"/>
  <sheetViews>
    <sheetView showGridLines="0" workbookViewId="0">
      <pane xSplit="2" ySplit="6" topLeftCell="AB7" activePane="bottomRight" state="frozen"/>
      <selection pane="topRight" activeCell="C1" sqref="C1"/>
      <selection pane="bottomLeft" activeCell="A7" sqref="A7"/>
      <selection pane="bottomRight" activeCell="AG17" sqref="AG17"/>
    </sheetView>
  </sheetViews>
  <sheetFormatPr defaultColWidth="9.36328125" defaultRowHeight="13" x14ac:dyDescent="0.3"/>
  <cols>
    <col min="1" max="1" width="2.36328125" style="1" customWidth="1"/>
    <col min="2" max="2" width="26.36328125" style="1" bestFit="1" customWidth="1"/>
    <col min="3" max="3" width="7.54296875" style="1" bestFit="1" customWidth="1"/>
    <col min="4" max="4" width="9" style="1" bestFit="1" customWidth="1"/>
    <col min="5" max="5" width="1.54296875" style="1" customWidth="1"/>
    <col min="6" max="6" width="7.54296875" style="1" bestFit="1" customWidth="1"/>
    <col min="7" max="7" width="9" style="1" bestFit="1" customWidth="1"/>
    <col min="8" max="8" width="1.54296875" style="1" customWidth="1"/>
    <col min="9" max="10" width="9" style="1" bestFit="1" customWidth="1"/>
    <col min="11" max="11" width="1.54296875" style="1" customWidth="1"/>
    <col min="12" max="12" width="6.54296875" style="1" bestFit="1" customWidth="1"/>
    <col min="13" max="13" width="9" style="1" bestFit="1" customWidth="1"/>
    <col min="14" max="14" width="1.54296875" style="1" customWidth="1"/>
    <col min="15" max="16" width="9" style="1" bestFit="1" customWidth="1"/>
    <col min="17" max="17" width="1.54296875" style="1" customWidth="1"/>
    <col min="18" max="19" width="9" style="1" bestFit="1" customWidth="1"/>
    <col min="20" max="20" width="1.54296875" style="1" customWidth="1"/>
    <col min="21" max="21" width="4.6328125" style="1" bestFit="1" customWidth="1"/>
    <col min="22" max="22" width="9" style="1" bestFit="1" customWidth="1"/>
    <col min="23" max="23" width="1.54296875" style="1" customWidth="1"/>
    <col min="24" max="24" width="7.54296875" style="1" bestFit="1" customWidth="1"/>
    <col min="25" max="25" width="9" style="1" bestFit="1" customWidth="1"/>
    <col min="26" max="26" width="1.54296875" style="1" customWidth="1"/>
    <col min="27" max="28" width="9" style="1" bestFit="1" customWidth="1"/>
    <col min="29" max="29" width="1.54296875" style="1" customWidth="1"/>
    <col min="30" max="30" width="4.6328125" style="1" bestFit="1" customWidth="1"/>
    <col min="31" max="31" width="9" style="1" bestFit="1" customWidth="1"/>
    <col min="32" max="32" width="1.453125" style="1" customWidth="1"/>
    <col min="33" max="33" width="4.6328125" style="1" bestFit="1" customWidth="1"/>
    <col min="34" max="34" width="9" style="1" bestFit="1" customWidth="1"/>
    <col min="35" max="35" width="1.453125" style="1" customWidth="1"/>
    <col min="36" max="36" width="9" style="1" bestFit="1" customWidth="1"/>
    <col min="37" max="37" width="10" style="1" bestFit="1" customWidth="1"/>
    <col min="38" max="38" width="1.453125" style="1" customWidth="1"/>
    <col min="39" max="39" width="9" style="1" customWidth="1"/>
    <col min="40" max="40" width="10" style="1" bestFit="1" customWidth="1"/>
    <col min="41" max="41" width="9" style="1" bestFit="1" customWidth="1"/>
    <col min="42" max="16384" width="9.36328125" style="1"/>
  </cols>
  <sheetData>
    <row r="2" spans="2:41" ht="23.5" x14ac:dyDescent="0.55000000000000004">
      <c r="B2" s="19" t="s">
        <v>31</v>
      </c>
    </row>
    <row r="3" spans="2:41" ht="23.5" x14ac:dyDescent="0.55000000000000004">
      <c r="B3" s="19" t="s">
        <v>46</v>
      </c>
    </row>
    <row r="4" spans="2:41" ht="23.5" x14ac:dyDescent="0.55000000000000004">
      <c r="B4" s="19" t="s">
        <v>32</v>
      </c>
    </row>
    <row r="6" spans="2:41" x14ac:dyDescent="0.3">
      <c r="C6" s="106" t="s">
        <v>33</v>
      </c>
      <c r="D6" s="106"/>
      <c r="F6" s="106" t="s">
        <v>34</v>
      </c>
      <c r="G6" s="106"/>
      <c r="I6" s="106" t="s">
        <v>35</v>
      </c>
      <c r="J6" s="106"/>
      <c r="L6" s="106" t="s">
        <v>36</v>
      </c>
      <c r="M6" s="106"/>
      <c r="O6" s="106" t="s">
        <v>37</v>
      </c>
      <c r="P6" s="106"/>
      <c r="R6" s="106" t="s">
        <v>38</v>
      </c>
      <c r="S6" s="106"/>
      <c r="U6" s="106" t="s">
        <v>39</v>
      </c>
      <c r="V6" s="106"/>
      <c r="X6" s="106" t="s">
        <v>40</v>
      </c>
      <c r="Y6" s="106"/>
      <c r="AA6" s="106" t="s">
        <v>41</v>
      </c>
      <c r="AB6" s="106"/>
      <c r="AD6" s="106" t="s">
        <v>42</v>
      </c>
      <c r="AE6" s="106"/>
      <c r="AG6" s="106" t="s">
        <v>43</v>
      </c>
      <c r="AH6" s="106"/>
      <c r="AJ6" s="106" t="s">
        <v>44</v>
      </c>
      <c r="AK6" s="106"/>
      <c r="AM6" s="106" t="s">
        <v>45</v>
      </c>
      <c r="AN6" s="106"/>
    </row>
    <row r="7" spans="2:41" x14ac:dyDescent="0.3">
      <c r="B7" s="8" t="s">
        <v>0</v>
      </c>
    </row>
    <row r="8" spans="2:41" x14ac:dyDescent="0.3">
      <c r="B8" s="9" t="s">
        <v>1</v>
      </c>
      <c r="C8" s="2"/>
      <c r="D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M8" s="2"/>
      <c r="AN8" s="2"/>
      <c r="AO8" s="2"/>
    </row>
    <row r="9" spans="2:41" x14ac:dyDescent="0.3">
      <c r="B9" s="10" t="s">
        <v>2</v>
      </c>
      <c r="C9" s="2"/>
      <c r="D9" s="6">
        <v>50.9</v>
      </c>
      <c r="F9" s="2"/>
      <c r="G9" s="6">
        <v>326.94</v>
      </c>
      <c r="H9" s="2"/>
      <c r="I9" s="2"/>
      <c r="J9" s="6">
        <v>923.61</v>
      </c>
      <c r="K9" s="2"/>
      <c r="L9" s="2"/>
      <c r="M9" s="6">
        <v>-411.84</v>
      </c>
      <c r="N9" s="2"/>
      <c r="O9" s="2"/>
      <c r="P9" s="6">
        <v>707.89</v>
      </c>
      <c r="Q9" s="2"/>
      <c r="R9" s="2"/>
      <c r="S9" s="6">
        <v>-61.3</v>
      </c>
      <c r="T9" s="2"/>
      <c r="U9" s="2"/>
      <c r="V9" s="6">
        <v>886.97</v>
      </c>
      <c r="W9" s="2"/>
      <c r="X9" s="2"/>
      <c r="Y9" s="6">
        <v>683.24</v>
      </c>
      <c r="Z9" s="2"/>
      <c r="AA9" s="2"/>
      <c r="AB9" s="6">
        <v>572.21</v>
      </c>
      <c r="AC9" s="2"/>
      <c r="AD9" s="2"/>
      <c r="AE9" s="6">
        <v>-468.29</v>
      </c>
      <c r="AF9" s="2"/>
      <c r="AG9" s="2"/>
      <c r="AH9" s="6">
        <v>668.27</v>
      </c>
      <c r="AI9" s="2"/>
      <c r="AJ9" s="2"/>
      <c r="AK9" s="6">
        <v>-957.65</v>
      </c>
      <c r="AM9" s="12"/>
      <c r="AN9" s="12">
        <f>SUM($D9:$AK9)</f>
        <v>2920.95</v>
      </c>
    </row>
    <row r="10" spans="2:41" x14ac:dyDescent="0.3">
      <c r="B10" s="10" t="s">
        <v>3</v>
      </c>
      <c r="C10" s="2"/>
      <c r="D10" s="6">
        <v>4650</v>
      </c>
      <c r="F10" s="2"/>
      <c r="G10" s="6">
        <v>4650</v>
      </c>
      <c r="H10" s="2"/>
      <c r="I10" s="2"/>
      <c r="J10" s="6">
        <v>4350</v>
      </c>
      <c r="K10" s="2"/>
      <c r="L10" s="2"/>
      <c r="M10" s="6">
        <v>4650</v>
      </c>
      <c r="N10" s="2"/>
      <c r="O10" s="2"/>
      <c r="P10" s="6">
        <v>4500</v>
      </c>
      <c r="Q10" s="2"/>
      <c r="R10" s="2"/>
      <c r="S10" s="6">
        <v>4650</v>
      </c>
      <c r="T10" s="2"/>
      <c r="U10" s="2"/>
      <c r="V10" s="6">
        <v>4500</v>
      </c>
      <c r="W10" s="2"/>
      <c r="X10" s="2"/>
      <c r="Y10" s="6">
        <v>4650</v>
      </c>
      <c r="Z10" s="2"/>
      <c r="AA10" s="2"/>
      <c r="AB10" s="6">
        <v>4650</v>
      </c>
      <c r="AC10" s="2"/>
      <c r="AD10" s="2"/>
      <c r="AE10" s="6">
        <v>4500</v>
      </c>
      <c r="AF10" s="2"/>
      <c r="AG10" s="2"/>
      <c r="AH10" s="6">
        <v>4650</v>
      </c>
      <c r="AI10" s="2"/>
      <c r="AJ10" s="2"/>
      <c r="AK10" s="6">
        <v>13650</v>
      </c>
      <c r="AM10" s="12"/>
      <c r="AN10" s="12">
        <f>SUM($D10:$AK10)</f>
        <v>64050</v>
      </c>
      <c r="AO10" s="2"/>
    </row>
    <row r="11" spans="2:41" x14ac:dyDescent="0.3">
      <c r="B11" s="10" t="s">
        <v>4</v>
      </c>
      <c r="C11" s="3"/>
      <c r="D11" s="7">
        <v>748.4</v>
      </c>
      <c r="F11" s="3"/>
      <c r="G11" s="7">
        <v>748.4</v>
      </c>
      <c r="H11" s="2"/>
      <c r="I11" s="3"/>
      <c r="J11" s="7">
        <v>748.4</v>
      </c>
      <c r="K11" s="2"/>
      <c r="L11" s="3"/>
      <c r="M11" s="7">
        <v>748.4</v>
      </c>
      <c r="N11" s="2"/>
      <c r="O11" s="3"/>
      <c r="P11" s="7">
        <v>748.4</v>
      </c>
      <c r="Q11" s="2"/>
      <c r="R11" s="3"/>
      <c r="S11" s="7">
        <v>748.4</v>
      </c>
      <c r="T11" s="2"/>
      <c r="U11" s="3"/>
      <c r="V11" s="7">
        <v>748.4</v>
      </c>
      <c r="W11" s="2"/>
      <c r="X11" s="3"/>
      <c r="Y11" s="7">
        <v>748.4</v>
      </c>
      <c r="Z11" s="2"/>
      <c r="AA11" s="3"/>
      <c r="AB11" s="7">
        <v>748.4</v>
      </c>
      <c r="AC11" s="2"/>
      <c r="AD11" s="3"/>
      <c r="AE11" s="7">
        <v>748.4</v>
      </c>
      <c r="AF11" s="2"/>
      <c r="AG11" s="3"/>
      <c r="AH11" s="7">
        <v>748.4</v>
      </c>
      <c r="AI11" s="2"/>
      <c r="AJ11" s="3"/>
      <c r="AK11" s="7">
        <v>748.4</v>
      </c>
      <c r="AM11" s="13"/>
      <c r="AN11" s="13">
        <f>SUM($D11:$AK11)</f>
        <v>8980.7999999999975</v>
      </c>
      <c r="AO11" s="2"/>
    </row>
    <row r="12" spans="2:41" x14ac:dyDescent="0.3">
      <c r="B12" s="9" t="s">
        <v>5</v>
      </c>
      <c r="C12" s="2"/>
      <c r="D12" s="2">
        <f>SUM(D9:D11)</f>
        <v>5449.2999999999993</v>
      </c>
      <c r="F12" s="2"/>
      <c r="G12" s="2">
        <f>SUM(G9:G11)</f>
        <v>5725.3399999999992</v>
      </c>
      <c r="H12" s="2"/>
      <c r="I12" s="2"/>
      <c r="J12" s="2">
        <f>SUM(J9:J11)</f>
        <v>6022.0099999999993</v>
      </c>
      <c r="K12" s="2"/>
      <c r="L12" s="2"/>
      <c r="M12" s="2">
        <f>SUM(M9:M11)</f>
        <v>4986.5599999999995</v>
      </c>
      <c r="N12" s="2"/>
      <c r="O12" s="2"/>
      <c r="P12" s="2">
        <f>SUM(P9:P11)</f>
        <v>5956.29</v>
      </c>
      <c r="Q12" s="2"/>
      <c r="R12" s="2"/>
      <c r="S12" s="2">
        <f>SUM(S9:S11)</f>
        <v>5337.0999999999995</v>
      </c>
      <c r="T12" s="2"/>
      <c r="U12" s="2"/>
      <c r="V12" s="2">
        <f>SUM(V9:V11)</f>
        <v>6135.37</v>
      </c>
      <c r="W12" s="2"/>
      <c r="X12" s="2"/>
      <c r="Y12" s="2">
        <f>SUM(Y9:Y11)</f>
        <v>6081.6399999999994</v>
      </c>
      <c r="Z12" s="2"/>
      <c r="AA12" s="2"/>
      <c r="AB12" s="2">
        <f>SUM(AB9:AB11)</f>
        <v>5970.61</v>
      </c>
      <c r="AC12" s="2"/>
      <c r="AD12" s="2"/>
      <c r="AE12" s="2">
        <f>SUM(AE9:AE11)</f>
        <v>4780.1099999999997</v>
      </c>
      <c r="AF12" s="2"/>
      <c r="AG12" s="2"/>
      <c r="AH12" s="2">
        <f>SUM(AH9:AH11)</f>
        <v>6066.67</v>
      </c>
      <c r="AI12" s="2"/>
      <c r="AJ12" s="2"/>
      <c r="AK12" s="2">
        <f>SUM(AK9:AK11)</f>
        <v>13440.75</v>
      </c>
      <c r="AM12" s="12"/>
      <c r="AN12" s="12">
        <f>SUM($D12:$AK12)</f>
        <v>75951.75</v>
      </c>
      <c r="AO12" s="2"/>
    </row>
    <row r="13" spans="2:41" x14ac:dyDescent="0.3">
      <c r="B13" s="9"/>
      <c r="C13" s="2"/>
      <c r="D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M13" s="12"/>
      <c r="AN13" s="12"/>
      <c r="AO13" s="2"/>
    </row>
    <row r="14" spans="2:41" x14ac:dyDescent="0.3">
      <c r="B14" s="9" t="s">
        <v>6</v>
      </c>
      <c r="C14" s="2"/>
      <c r="D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12"/>
      <c r="AN14" s="12">
        <f>SUM($D14:$AK14)</f>
        <v>0</v>
      </c>
      <c r="AO14" s="2"/>
    </row>
    <row r="15" spans="2:41" x14ac:dyDescent="0.3">
      <c r="B15" s="10" t="s">
        <v>7</v>
      </c>
      <c r="C15" s="2"/>
      <c r="D15" s="6">
        <v>0</v>
      </c>
      <c r="F15" s="2"/>
      <c r="G15" s="6">
        <v>0</v>
      </c>
      <c r="H15" s="2"/>
      <c r="I15" s="2"/>
      <c r="J15" s="6">
        <v>0</v>
      </c>
      <c r="K15" s="2"/>
      <c r="L15" s="2"/>
      <c r="M15" s="6">
        <v>0</v>
      </c>
      <c r="N15" s="2"/>
      <c r="O15" s="2"/>
      <c r="P15" s="6">
        <v>0</v>
      </c>
      <c r="Q15" s="2"/>
      <c r="R15" s="2"/>
      <c r="S15" s="6">
        <v>0</v>
      </c>
      <c r="T15" s="2"/>
      <c r="U15" s="2"/>
      <c r="V15" s="6">
        <v>0</v>
      </c>
      <c r="W15" s="2"/>
      <c r="X15" s="2"/>
      <c r="Y15" s="6">
        <v>0</v>
      </c>
      <c r="Z15" s="2"/>
      <c r="AA15" s="2"/>
      <c r="AB15" s="6">
        <v>0.2</v>
      </c>
      <c r="AC15" s="2"/>
      <c r="AD15" s="2"/>
      <c r="AE15" s="6">
        <v>0</v>
      </c>
      <c r="AF15" s="2"/>
      <c r="AG15" s="2"/>
      <c r="AH15" s="6">
        <v>0</v>
      </c>
      <c r="AI15" s="2"/>
      <c r="AJ15" s="2"/>
      <c r="AK15" s="6">
        <v>0</v>
      </c>
      <c r="AL15" s="2"/>
      <c r="AM15" s="12"/>
      <c r="AN15" s="12">
        <f>SUM($D15:$AK15)</f>
        <v>0.2</v>
      </c>
      <c r="AO15" s="2"/>
    </row>
    <row r="16" spans="2:41" x14ac:dyDescent="0.3">
      <c r="B16" s="10" t="s">
        <v>8</v>
      </c>
      <c r="C16" s="2"/>
      <c r="D16" s="6">
        <v>0</v>
      </c>
      <c r="F16" s="2"/>
      <c r="G16" s="6">
        <v>0</v>
      </c>
      <c r="H16" s="2"/>
      <c r="I16" s="2"/>
      <c r="J16" s="6">
        <v>0</v>
      </c>
      <c r="K16" s="2"/>
      <c r="L16" s="2"/>
      <c r="M16" s="6">
        <v>0</v>
      </c>
      <c r="N16" s="2"/>
      <c r="O16" s="2"/>
      <c r="P16" s="6">
        <v>0</v>
      </c>
      <c r="Q16" s="2"/>
      <c r="R16" s="2"/>
      <c r="S16" s="6">
        <v>0</v>
      </c>
      <c r="T16" s="2"/>
      <c r="U16" s="2"/>
      <c r="V16" s="6">
        <v>35.270000000000003</v>
      </c>
      <c r="W16" s="2"/>
      <c r="X16" s="2"/>
      <c r="Y16" s="6">
        <v>0</v>
      </c>
      <c r="Z16" s="2"/>
      <c r="AA16" s="2"/>
      <c r="AB16" s="6">
        <v>0</v>
      </c>
      <c r="AC16" s="2"/>
      <c r="AD16" s="2"/>
      <c r="AE16" s="6">
        <v>0</v>
      </c>
      <c r="AF16" s="2"/>
      <c r="AG16" s="2"/>
      <c r="AH16" s="6">
        <v>0</v>
      </c>
      <c r="AI16" s="2"/>
      <c r="AJ16" s="2"/>
      <c r="AK16" s="6">
        <v>0</v>
      </c>
      <c r="AL16" s="2"/>
      <c r="AM16" s="12"/>
      <c r="AN16" s="12">
        <f>SUM($D16:$AK16)</f>
        <v>35.270000000000003</v>
      </c>
      <c r="AO16" s="2"/>
    </row>
    <row r="17" spans="2:41" x14ac:dyDescent="0.3">
      <c r="B17" s="10" t="s">
        <v>9</v>
      </c>
      <c r="C17" s="2"/>
      <c r="D17" s="6">
        <v>0</v>
      </c>
      <c r="F17" s="2"/>
      <c r="G17" s="6">
        <v>149</v>
      </c>
      <c r="H17" s="2"/>
      <c r="I17" s="2"/>
      <c r="J17" s="6">
        <v>0</v>
      </c>
      <c r="K17" s="2"/>
      <c r="L17" s="2"/>
      <c r="M17" s="6">
        <v>0</v>
      </c>
      <c r="N17" s="2"/>
      <c r="O17" s="2"/>
      <c r="P17" s="6">
        <v>0</v>
      </c>
      <c r="Q17" s="2"/>
      <c r="R17" s="2"/>
      <c r="S17" s="6">
        <v>0</v>
      </c>
      <c r="T17" s="2"/>
      <c r="U17" s="2"/>
      <c r="V17" s="6">
        <v>0</v>
      </c>
      <c r="W17" s="2"/>
      <c r="X17" s="2"/>
      <c r="Y17" s="6">
        <v>0</v>
      </c>
      <c r="Z17" s="2"/>
      <c r="AA17" s="2"/>
      <c r="AB17" s="6">
        <v>0</v>
      </c>
      <c r="AC17" s="2"/>
      <c r="AD17" s="2"/>
      <c r="AE17" s="6">
        <v>0</v>
      </c>
      <c r="AF17" s="2"/>
      <c r="AG17" s="2"/>
      <c r="AH17" s="6">
        <v>0</v>
      </c>
      <c r="AI17" s="2"/>
      <c r="AJ17" s="2"/>
      <c r="AK17" s="6">
        <v>0</v>
      </c>
      <c r="AL17" s="2"/>
      <c r="AM17" s="12"/>
      <c r="AN17" s="12">
        <f>SUM($D17:$AK17)</f>
        <v>149</v>
      </c>
      <c r="AO17" s="2"/>
    </row>
    <row r="18" spans="2:41" x14ac:dyDescent="0.3">
      <c r="B18" s="10" t="s">
        <v>10</v>
      </c>
      <c r="C18" s="2"/>
      <c r="D18" s="6">
        <v>214.75</v>
      </c>
      <c r="F18" s="2"/>
      <c r="G18" s="6">
        <v>0</v>
      </c>
      <c r="H18" s="2"/>
      <c r="I18" s="2"/>
      <c r="J18" s="6">
        <v>0</v>
      </c>
      <c r="K18" s="2"/>
      <c r="L18" s="2"/>
      <c r="M18" s="6">
        <v>0</v>
      </c>
      <c r="N18" s="2"/>
      <c r="O18" s="2"/>
      <c r="P18" s="6">
        <v>0</v>
      </c>
      <c r="Q18" s="2"/>
      <c r="R18" s="2"/>
      <c r="S18" s="6">
        <v>0</v>
      </c>
      <c r="T18" s="2"/>
      <c r="U18" s="2"/>
      <c r="V18" s="6">
        <v>0</v>
      </c>
      <c r="W18" s="2"/>
      <c r="X18" s="2"/>
      <c r="Y18" s="6">
        <v>0</v>
      </c>
      <c r="Z18" s="2"/>
      <c r="AA18" s="2"/>
      <c r="AB18" s="6">
        <v>6.65</v>
      </c>
      <c r="AC18" s="2"/>
      <c r="AD18" s="2"/>
      <c r="AE18" s="6">
        <v>0</v>
      </c>
      <c r="AF18" s="2"/>
      <c r="AG18" s="2"/>
      <c r="AH18" s="6">
        <v>208.52</v>
      </c>
      <c r="AI18" s="2"/>
      <c r="AJ18" s="2"/>
      <c r="AK18" s="6">
        <v>0</v>
      </c>
      <c r="AL18" s="2"/>
      <c r="AM18" s="12"/>
      <c r="AN18" s="12">
        <f>SUM($D18:$AK18)</f>
        <v>429.92</v>
      </c>
      <c r="AO18" s="2"/>
    </row>
    <row r="19" spans="2:41" x14ac:dyDescent="0.3">
      <c r="B19" s="10" t="s">
        <v>11</v>
      </c>
      <c r="C19" s="2"/>
      <c r="D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12"/>
      <c r="AN19" s="12">
        <v>0</v>
      </c>
      <c r="AO19" s="2"/>
    </row>
    <row r="20" spans="2:41" x14ac:dyDescent="0.3">
      <c r="B20" s="11" t="s">
        <v>12</v>
      </c>
      <c r="C20" s="6">
        <v>0</v>
      </c>
      <c r="D20" s="2"/>
      <c r="F20" s="6">
        <v>0</v>
      </c>
      <c r="G20" s="2"/>
      <c r="I20" s="6">
        <v>1074.03</v>
      </c>
      <c r="J20" s="2"/>
      <c r="K20" s="2"/>
      <c r="L20" s="6">
        <v>0</v>
      </c>
      <c r="M20" s="2"/>
      <c r="N20" s="2"/>
      <c r="O20" s="6">
        <v>0</v>
      </c>
      <c r="P20" s="2"/>
      <c r="Q20" s="2"/>
      <c r="R20" s="6">
        <v>1074.03</v>
      </c>
      <c r="S20" s="2"/>
      <c r="T20" s="2"/>
      <c r="U20" s="6">
        <v>0</v>
      </c>
      <c r="V20" s="2"/>
      <c r="W20" s="2"/>
      <c r="X20" s="6">
        <v>0</v>
      </c>
      <c r="Y20" s="2"/>
      <c r="Z20" s="2"/>
      <c r="AA20" s="6">
        <v>1074.03</v>
      </c>
      <c r="AB20" s="2"/>
      <c r="AC20" s="2"/>
      <c r="AD20" s="6">
        <v>0</v>
      </c>
      <c r="AE20" s="2"/>
      <c r="AF20" s="2"/>
      <c r="AG20" s="6">
        <v>0</v>
      </c>
      <c r="AH20" s="2"/>
      <c r="AI20" s="2"/>
      <c r="AJ20" s="6">
        <v>1074.03</v>
      </c>
      <c r="AK20" s="2"/>
      <c r="AL20" s="2"/>
      <c r="AM20" s="12">
        <f>SUM($D20:$AK20)</f>
        <v>4296.12</v>
      </c>
      <c r="AN20" s="12"/>
    </row>
    <row r="21" spans="2:41" x14ac:dyDescent="0.3">
      <c r="B21" s="11" t="s">
        <v>13</v>
      </c>
      <c r="C21" s="7">
        <v>0</v>
      </c>
      <c r="D21" s="2"/>
      <c r="F21" s="7">
        <v>0</v>
      </c>
      <c r="G21" s="2"/>
      <c r="I21" s="7">
        <v>0</v>
      </c>
      <c r="J21" s="2"/>
      <c r="K21" s="2"/>
      <c r="L21" s="7">
        <v>0</v>
      </c>
      <c r="M21" s="2"/>
      <c r="N21" s="2"/>
      <c r="O21" s="7">
        <v>0</v>
      </c>
      <c r="P21" s="2"/>
      <c r="Q21" s="2"/>
      <c r="R21" s="7">
        <v>0</v>
      </c>
      <c r="S21" s="2"/>
      <c r="T21" s="2"/>
      <c r="U21" s="7">
        <v>0</v>
      </c>
      <c r="V21" s="2"/>
      <c r="W21" s="2"/>
      <c r="X21" s="7">
        <v>229</v>
      </c>
      <c r="Y21" s="2"/>
      <c r="Z21" s="2"/>
      <c r="AA21" s="7">
        <v>0</v>
      </c>
      <c r="AB21" s="2"/>
      <c r="AC21" s="2"/>
      <c r="AD21" s="7">
        <v>0</v>
      </c>
      <c r="AE21" s="2"/>
      <c r="AF21" s="2"/>
      <c r="AG21" s="7">
        <v>0</v>
      </c>
      <c r="AH21" s="2"/>
      <c r="AI21" s="2"/>
      <c r="AJ21" s="7">
        <v>0</v>
      </c>
      <c r="AK21" s="2"/>
      <c r="AL21" s="2"/>
      <c r="AM21" s="13">
        <f>SUM($D21:$AK21)</f>
        <v>229</v>
      </c>
      <c r="AN21" s="12"/>
    </row>
    <row r="22" spans="2:41" x14ac:dyDescent="0.3">
      <c r="B22" s="10" t="s">
        <v>14</v>
      </c>
      <c r="C22" s="2"/>
      <c r="D22" s="2">
        <f>SUM(C20:C21)</f>
        <v>0</v>
      </c>
      <c r="F22" s="2"/>
      <c r="G22" s="2">
        <f>SUM(F20:F21)</f>
        <v>0</v>
      </c>
      <c r="H22" s="2"/>
      <c r="I22" s="2"/>
      <c r="J22" s="2">
        <f>SUM(I20:I21)</f>
        <v>1074.03</v>
      </c>
      <c r="K22" s="2"/>
      <c r="L22" s="2"/>
      <c r="M22" s="2">
        <f>SUM(L20:L21)</f>
        <v>0</v>
      </c>
      <c r="N22" s="2"/>
      <c r="O22" s="2"/>
      <c r="P22" s="2">
        <f>SUM(O20:O21)</f>
        <v>0</v>
      </c>
      <c r="Q22" s="2"/>
      <c r="R22" s="2"/>
      <c r="S22" s="2">
        <f>SUM(R20:R21)</f>
        <v>1074.03</v>
      </c>
      <c r="T22" s="2"/>
      <c r="U22" s="2"/>
      <c r="V22" s="2">
        <f>SUM(U20:U21)</f>
        <v>0</v>
      </c>
      <c r="W22" s="2"/>
      <c r="X22" s="2"/>
      <c r="Y22" s="2">
        <f>SUM(X20:X21)</f>
        <v>229</v>
      </c>
      <c r="Z22" s="2"/>
      <c r="AA22" s="2"/>
      <c r="AB22" s="2">
        <f>SUM(AA20:AA21)</f>
        <v>1074.03</v>
      </c>
      <c r="AC22" s="2"/>
      <c r="AD22" s="2"/>
      <c r="AE22" s="2">
        <f>SUM(AD20:AD21)</f>
        <v>0</v>
      </c>
      <c r="AF22" s="2"/>
      <c r="AG22" s="2"/>
      <c r="AH22" s="2">
        <f>SUM(AG20:AG21)</f>
        <v>0</v>
      </c>
      <c r="AI22" s="2"/>
      <c r="AJ22" s="2"/>
      <c r="AK22" s="2">
        <f>SUM(AJ20:AJ21)</f>
        <v>1074.03</v>
      </c>
      <c r="AL22" s="2"/>
      <c r="AM22" s="12"/>
      <c r="AN22" s="12">
        <f>SUM($D22:$AK22)</f>
        <v>4525.12</v>
      </c>
      <c r="AO22" s="2"/>
    </row>
    <row r="23" spans="2:41" x14ac:dyDescent="0.3">
      <c r="B23" s="10" t="s">
        <v>15</v>
      </c>
      <c r="C23" s="2"/>
      <c r="D23" s="6">
        <v>0</v>
      </c>
      <c r="F23" s="2"/>
      <c r="G23" s="6">
        <v>0</v>
      </c>
      <c r="H23" s="2"/>
      <c r="I23" s="2"/>
      <c r="J23" s="6">
        <v>0</v>
      </c>
      <c r="K23" s="2"/>
      <c r="L23" s="2"/>
      <c r="M23" s="6">
        <v>0</v>
      </c>
      <c r="N23" s="2"/>
      <c r="O23" s="2"/>
      <c r="P23" s="6">
        <v>11</v>
      </c>
      <c r="Q23" s="2"/>
      <c r="R23" s="2"/>
      <c r="S23" s="6">
        <v>100</v>
      </c>
      <c r="T23" s="2"/>
      <c r="U23" s="2"/>
      <c r="V23" s="6">
        <v>0</v>
      </c>
      <c r="W23" s="2"/>
      <c r="X23" s="2"/>
      <c r="Y23" s="6">
        <v>0</v>
      </c>
      <c r="Z23" s="2"/>
      <c r="AA23" s="2"/>
      <c r="AB23" s="6">
        <v>0</v>
      </c>
      <c r="AC23" s="2"/>
      <c r="AD23" s="2"/>
      <c r="AE23" s="6">
        <v>0</v>
      </c>
      <c r="AF23" s="2"/>
      <c r="AG23" s="2"/>
      <c r="AH23" s="6">
        <v>0</v>
      </c>
      <c r="AI23" s="2"/>
      <c r="AJ23" s="2"/>
      <c r="AK23" s="6">
        <v>0</v>
      </c>
      <c r="AL23" s="2"/>
      <c r="AM23" s="12"/>
      <c r="AN23" s="12">
        <f>SUM($D23:$AK23)</f>
        <v>111</v>
      </c>
      <c r="AO23" s="2"/>
    </row>
    <row r="24" spans="2:41" x14ac:dyDescent="0.3">
      <c r="B24" s="10" t="s">
        <v>16</v>
      </c>
      <c r="C24" s="2"/>
      <c r="D24" s="6">
        <v>0</v>
      </c>
      <c r="F24" s="2"/>
      <c r="G24" s="6">
        <v>0</v>
      </c>
      <c r="H24" s="2"/>
      <c r="I24" s="2"/>
      <c r="J24" s="6">
        <v>0</v>
      </c>
      <c r="K24" s="2"/>
      <c r="L24" s="2"/>
      <c r="M24" s="6">
        <v>0</v>
      </c>
      <c r="N24" s="2"/>
      <c r="O24" s="2"/>
      <c r="P24" s="6">
        <v>0</v>
      </c>
      <c r="Q24" s="2"/>
      <c r="R24" s="2"/>
      <c r="S24" s="6">
        <v>0</v>
      </c>
      <c r="T24" s="2"/>
      <c r="U24" s="2"/>
      <c r="V24" s="6">
        <v>9.8000000000000007</v>
      </c>
      <c r="W24" s="2"/>
      <c r="X24" s="2"/>
      <c r="Y24" s="6">
        <v>0</v>
      </c>
      <c r="Z24" s="2"/>
      <c r="AA24" s="2"/>
      <c r="AB24" s="6">
        <v>0</v>
      </c>
      <c r="AC24" s="2"/>
      <c r="AD24" s="2"/>
      <c r="AE24" s="6">
        <v>0</v>
      </c>
      <c r="AF24" s="2"/>
      <c r="AG24" s="2"/>
      <c r="AH24" s="6">
        <v>0</v>
      </c>
      <c r="AI24" s="2"/>
      <c r="AJ24" s="2"/>
      <c r="AK24" s="6">
        <v>0</v>
      </c>
      <c r="AL24" s="2"/>
      <c r="AM24" s="12"/>
      <c r="AN24" s="12">
        <f>SUM($D24:$AK24)</f>
        <v>9.8000000000000007</v>
      </c>
      <c r="AO24" s="2"/>
    </row>
    <row r="25" spans="2:41" x14ac:dyDescent="0.3">
      <c r="B25" s="10" t="s">
        <v>17</v>
      </c>
      <c r="C25" s="2"/>
      <c r="D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12"/>
      <c r="AN25" s="12">
        <v>0</v>
      </c>
      <c r="AO25" s="2"/>
    </row>
    <row r="26" spans="2:41" x14ac:dyDescent="0.3">
      <c r="B26" s="11" t="s">
        <v>18</v>
      </c>
      <c r="C26" s="6">
        <v>0</v>
      </c>
      <c r="D26" s="2"/>
      <c r="F26" s="6">
        <v>0</v>
      </c>
      <c r="G26" s="2"/>
      <c r="H26" s="2"/>
      <c r="I26" s="6">
        <v>0</v>
      </c>
      <c r="J26" s="2"/>
      <c r="K26" s="2"/>
      <c r="L26" s="6">
        <v>0</v>
      </c>
      <c r="M26" s="2"/>
      <c r="N26" s="2"/>
      <c r="O26" s="6">
        <v>1165</v>
      </c>
      <c r="P26" s="2"/>
      <c r="Q26" s="2"/>
      <c r="R26" s="6">
        <v>0</v>
      </c>
      <c r="S26" s="2"/>
      <c r="T26" s="2"/>
      <c r="U26" s="6">
        <v>0</v>
      </c>
      <c r="V26" s="2"/>
      <c r="W26" s="2"/>
      <c r="X26" s="6">
        <v>0</v>
      </c>
      <c r="Y26" s="2"/>
      <c r="Z26" s="2"/>
      <c r="AA26" s="6">
        <v>0</v>
      </c>
      <c r="AB26" s="2"/>
      <c r="AC26" s="2"/>
      <c r="AD26" s="6">
        <v>0</v>
      </c>
      <c r="AE26" s="2"/>
      <c r="AF26" s="2"/>
      <c r="AG26" s="6">
        <v>0</v>
      </c>
      <c r="AH26" s="2"/>
      <c r="AI26" s="2"/>
      <c r="AJ26" s="6">
        <v>1165</v>
      </c>
      <c r="AK26" s="2"/>
      <c r="AL26" s="2"/>
      <c r="AM26" s="12">
        <f>SUM($D26:$AK26)</f>
        <v>2330</v>
      </c>
      <c r="AN26" s="12"/>
    </row>
    <row r="27" spans="2:41" x14ac:dyDescent="0.3">
      <c r="B27" s="11" t="s">
        <v>19</v>
      </c>
      <c r="C27" s="6">
        <v>111.35</v>
      </c>
      <c r="D27" s="2"/>
      <c r="F27" s="6">
        <v>257.97000000000003</v>
      </c>
      <c r="G27" s="2"/>
      <c r="H27" s="2"/>
      <c r="I27" s="6">
        <v>0</v>
      </c>
      <c r="J27" s="2"/>
      <c r="K27" s="2"/>
      <c r="L27" s="6">
        <v>37.03</v>
      </c>
      <c r="M27" s="2"/>
      <c r="N27" s="2"/>
      <c r="O27" s="6">
        <v>52.77</v>
      </c>
      <c r="P27" s="2"/>
      <c r="Q27" s="2"/>
      <c r="R27" s="6">
        <v>52.42</v>
      </c>
      <c r="S27" s="2"/>
      <c r="T27" s="2"/>
      <c r="U27" s="6">
        <v>0</v>
      </c>
      <c r="V27" s="2"/>
      <c r="W27" s="2"/>
      <c r="X27" s="6">
        <v>269.16000000000003</v>
      </c>
      <c r="Y27" s="2"/>
      <c r="Z27" s="2"/>
      <c r="AA27" s="6">
        <v>0</v>
      </c>
      <c r="AB27" s="2"/>
      <c r="AC27" s="2"/>
      <c r="AD27" s="6">
        <v>0</v>
      </c>
      <c r="AE27" s="2"/>
      <c r="AF27" s="2"/>
      <c r="AG27" s="6">
        <v>0</v>
      </c>
      <c r="AH27" s="2"/>
      <c r="AI27" s="2"/>
      <c r="AJ27" s="6">
        <v>235.55</v>
      </c>
      <c r="AK27" s="2"/>
      <c r="AL27" s="2"/>
      <c r="AM27" s="12">
        <f>SUM($D27:$AK27)</f>
        <v>904.90000000000009</v>
      </c>
      <c r="AN27" s="12"/>
    </row>
    <row r="28" spans="2:41" x14ac:dyDescent="0.3">
      <c r="B28" s="11" t="s">
        <v>20</v>
      </c>
      <c r="C28" s="7">
        <v>0</v>
      </c>
      <c r="D28" s="2"/>
      <c r="F28" s="7">
        <v>739.32</v>
      </c>
      <c r="G28" s="2"/>
      <c r="H28" s="2"/>
      <c r="I28" s="7">
        <v>0</v>
      </c>
      <c r="J28" s="2"/>
      <c r="K28" s="2"/>
      <c r="L28" s="7">
        <v>0</v>
      </c>
      <c r="M28" s="2"/>
      <c r="N28" s="2"/>
      <c r="O28" s="7">
        <v>182</v>
      </c>
      <c r="P28" s="2"/>
      <c r="Q28" s="2"/>
      <c r="R28" s="7">
        <v>0</v>
      </c>
      <c r="S28" s="2"/>
      <c r="T28" s="2"/>
      <c r="U28" s="7">
        <v>0</v>
      </c>
      <c r="V28" s="2"/>
      <c r="W28" s="2"/>
      <c r="X28" s="7">
        <v>400</v>
      </c>
      <c r="Y28" s="2"/>
      <c r="Z28" s="2"/>
      <c r="AA28" s="7">
        <v>320</v>
      </c>
      <c r="AB28" s="2"/>
      <c r="AC28" s="2"/>
      <c r="AD28" s="7">
        <v>0</v>
      </c>
      <c r="AE28" s="2"/>
      <c r="AF28" s="2"/>
      <c r="AG28" s="7">
        <v>0</v>
      </c>
      <c r="AH28" s="2"/>
      <c r="AI28" s="2"/>
      <c r="AJ28" s="7">
        <v>0</v>
      </c>
      <c r="AK28" s="2"/>
      <c r="AL28" s="2"/>
      <c r="AM28" s="13">
        <f>SUM($D28:$AK28)</f>
        <v>1641.3200000000002</v>
      </c>
      <c r="AN28" s="12"/>
    </row>
    <row r="29" spans="2:41" x14ac:dyDescent="0.3">
      <c r="B29" s="10" t="s">
        <v>21</v>
      </c>
      <c r="C29" s="2"/>
      <c r="D29" s="2">
        <f>SUM(C26:C28)</f>
        <v>111.35</v>
      </c>
      <c r="F29" s="2"/>
      <c r="G29" s="2">
        <f>SUM(F26:F28)</f>
        <v>997.29000000000008</v>
      </c>
      <c r="H29" s="2"/>
      <c r="I29" s="2"/>
      <c r="J29" s="2">
        <f>SUM(I26:I28)</f>
        <v>0</v>
      </c>
      <c r="K29" s="2"/>
      <c r="L29" s="2"/>
      <c r="M29" s="2">
        <f>SUM(L26:L28)</f>
        <v>37.03</v>
      </c>
      <c r="N29" s="2"/>
      <c r="O29" s="2"/>
      <c r="P29" s="2">
        <f>SUM(O26:O28)</f>
        <v>1399.77</v>
      </c>
      <c r="Q29" s="2"/>
      <c r="R29" s="2"/>
      <c r="S29" s="2">
        <f>SUM(R26:R28)</f>
        <v>52.42</v>
      </c>
      <c r="T29" s="2"/>
      <c r="U29" s="2"/>
      <c r="V29" s="2">
        <f>SUM(U26:U28)</f>
        <v>0</v>
      </c>
      <c r="W29" s="2"/>
      <c r="X29" s="2"/>
      <c r="Y29" s="2">
        <f>SUM(X26:X28)</f>
        <v>669.16000000000008</v>
      </c>
      <c r="Z29" s="2"/>
      <c r="AA29" s="2"/>
      <c r="AB29" s="2">
        <f>SUM(AA26:AA28)</f>
        <v>320</v>
      </c>
      <c r="AC29" s="2"/>
      <c r="AD29" s="2"/>
      <c r="AE29" s="2">
        <f>SUM(AD26:AD28)</f>
        <v>0</v>
      </c>
      <c r="AF29" s="2"/>
      <c r="AG29" s="2"/>
      <c r="AH29" s="2">
        <f>SUM(AG26:AG28)</f>
        <v>0</v>
      </c>
      <c r="AI29" s="2"/>
      <c r="AJ29" s="2"/>
      <c r="AK29" s="2">
        <f>SUM(AJ26:AJ28)</f>
        <v>1400.55</v>
      </c>
      <c r="AL29" s="2"/>
      <c r="AM29" s="12"/>
      <c r="AN29" s="12">
        <f>SUM($D29:$AK29)</f>
        <v>4987.5700000000006</v>
      </c>
      <c r="AO29" s="2"/>
    </row>
    <row r="30" spans="2:41" x14ac:dyDescent="0.3">
      <c r="B30" s="10" t="s">
        <v>22</v>
      </c>
      <c r="C30" s="2"/>
      <c r="D30" s="6">
        <v>78</v>
      </c>
      <c r="F30" s="2"/>
      <c r="G30" s="6">
        <v>72</v>
      </c>
      <c r="H30" s="2"/>
      <c r="I30" s="2"/>
      <c r="J30" s="6">
        <v>72</v>
      </c>
      <c r="K30" s="2"/>
      <c r="L30" s="2"/>
      <c r="M30" s="6">
        <v>156</v>
      </c>
      <c r="N30" s="2"/>
      <c r="O30" s="2"/>
      <c r="P30" s="6">
        <v>75.599999999999994</v>
      </c>
      <c r="Q30" s="2"/>
      <c r="R30" s="2"/>
      <c r="S30" s="6">
        <v>39.6</v>
      </c>
      <c r="T30" s="2"/>
      <c r="U30" s="2"/>
      <c r="V30" s="6">
        <v>123.6</v>
      </c>
      <c r="W30" s="2"/>
      <c r="X30" s="2"/>
      <c r="Y30" s="6">
        <v>118.8</v>
      </c>
      <c r="Z30" s="2"/>
      <c r="AA30" s="2"/>
      <c r="AB30" s="6">
        <v>158.4</v>
      </c>
      <c r="AC30" s="2"/>
      <c r="AD30" s="2"/>
      <c r="AE30" s="6">
        <v>163.19999999999999</v>
      </c>
      <c r="AF30" s="2"/>
      <c r="AG30" s="2"/>
      <c r="AH30" s="6">
        <v>78.599999999999994</v>
      </c>
      <c r="AI30" s="2"/>
      <c r="AJ30" s="2"/>
      <c r="AK30" s="6">
        <v>107</v>
      </c>
      <c r="AL30" s="2"/>
      <c r="AM30" s="12"/>
      <c r="AN30" s="12">
        <f>SUM($D30:$AK30)</f>
        <v>1242.8</v>
      </c>
      <c r="AO30" s="2"/>
    </row>
    <row r="31" spans="2:41" x14ac:dyDescent="0.3">
      <c r="B31" s="10" t="s">
        <v>23</v>
      </c>
      <c r="C31" s="2"/>
      <c r="D31" s="7">
        <v>157.5</v>
      </c>
      <c r="F31" s="2"/>
      <c r="G31" s="7">
        <v>0</v>
      </c>
      <c r="H31" s="2"/>
      <c r="I31" s="2"/>
      <c r="J31" s="7">
        <v>0</v>
      </c>
      <c r="K31" s="2"/>
      <c r="L31" s="2"/>
      <c r="M31" s="7">
        <v>0</v>
      </c>
      <c r="N31" s="2"/>
      <c r="O31" s="2"/>
      <c r="P31" s="7">
        <v>40.96</v>
      </c>
      <c r="Q31" s="2"/>
      <c r="R31" s="2"/>
      <c r="S31" s="7">
        <v>140</v>
      </c>
      <c r="T31" s="2"/>
      <c r="U31" s="2"/>
      <c r="V31" s="7">
        <v>195.5</v>
      </c>
      <c r="W31" s="2"/>
      <c r="X31" s="2"/>
      <c r="Y31" s="7">
        <v>0</v>
      </c>
      <c r="Z31" s="2"/>
      <c r="AA31" s="2"/>
      <c r="AB31" s="7">
        <v>0</v>
      </c>
      <c r="AC31" s="2"/>
      <c r="AD31" s="2"/>
      <c r="AE31" s="7">
        <v>0</v>
      </c>
      <c r="AF31" s="2"/>
      <c r="AG31" s="2"/>
      <c r="AH31" s="7">
        <v>34</v>
      </c>
      <c r="AI31" s="2"/>
      <c r="AJ31" s="2"/>
      <c r="AK31" s="7">
        <v>8.52</v>
      </c>
      <c r="AL31" s="2"/>
      <c r="AM31" s="12"/>
      <c r="AN31" s="13">
        <f>SUM($D31:$AK31)</f>
        <v>576.48</v>
      </c>
      <c r="AO31" s="2"/>
    </row>
    <row r="32" spans="2:41" x14ac:dyDescent="0.3">
      <c r="B32" s="9" t="s">
        <v>24</v>
      </c>
      <c r="C32" s="4"/>
      <c r="D32" s="4">
        <f>SUM(D15:D31)</f>
        <v>561.6</v>
      </c>
      <c r="F32" s="4"/>
      <c r="G32" s="4">
        <f>SUM(G15:G31)</f>
        <v>1218.29</v>
      </c>
      <c r="H32" s="2"/>
      <c r="I32" s="4"/>
      <c r="J32" s="4">
        <f>SUM(J15:J31)</f>
        <v>1146.03</v>
      </c>
      <c r="K32" s="2"/>
      <c r="L32" s="4"/>
      <c r="M32" s="4">
        <f>SUM(M15:M31)</f>
        <v>193.03</v>
      </c>
      <c r="N32" s="2"/>
      <c r="O32" s="4"/>
      <c r="P32" s="4">
        <f>SUM(P15:P31)</f>
        <v>1527.33</v>
      </c>
      <c r="Q32" s="2"/>
      <c r="R32" s="4"/>
      <c r="S32" s="4">
        <f>SUM(S15:S31)</f>
        <v>1406.05</v>
      </c>
      <c r="T32" s="2"/>
      <c r="U32" s="4"/>
      <c r="V32" s="4">
        <f>SUM(V15:V31)</f>
        <v>364.17</v>
      </c>
      <c r="W32" s="2"/>
      <c r="X32" s="4"/>
      <c r="Y32" s="4">
        <f>SUM(Y15:Y31)</f>
        <v>1016.96</v>
      </c>
      <c r="Z32" s="2"/>
      <c r="AA32" s="4"/>
      <c r="AB32" s="4">
        <f>SUM(AB15:AB31)</f>
        <v>1559.28</v>
      </c>
      <c r="AC32" s="2"/>
      <c r="AD32" s="4"/>
      <c r="AE32" s="4">
        <f>SUM(AE15:AE31)</f>
        <v>163.19999999999999</v>
      </c>
      <c r="AF32" s="2"/>
      <c r="AG32" s="4"/>
      <c r="AH32" s="4">
        <f>SUM(AH15:AH31)</f>
        <v>321.12</v>
      </c>
      <c r="AI32" s="2"/>
      <c r="AJ32" s="4"/>
      <c r="AK32" s="4">
        <f>SUM(AK15:AK31)</f>
        <v>2590.1</v>
      </c>
      <c r="AL32" s="2"/>
      <c r="AM32" s="14"/>
      <c r="AN32" s="14">
        <f>SUM($D32:$AK32)</f>
        <v>12067.160000000003</v>
      </c>
      <c r="AO32" s="2"/>
    </row>
    <row r="33" spans="2:41" ht="13.5" thickBot="1" x14ac:dyDescent="0.35">
      <c r="B33" s="9" t="s">
        <v>25</v>
      </c>
      <c r="C33" s="5"/>
      <c r="D33" s="5">
        <f>D12-D32</f>
        <v>4887.6999999999989</v>
      </c>
      <c r="F33" s="5"/>
      <c r="G33" s="5">
        <f>G12-G32</f>
        <v>4507.0499999999993</v>
      </c>
      <c r="H33" s="2"/>
      <c r="I33" s="5"/>
      <c r="J33" s="5">
        <f>J12-J32</f>
        <v>4875.9799999999996</v>
      </c>
      <c r="K33" s="2"/>
      <c r="L33" s="5"/>
      <c r="M33" s="5">
        <f>M12-M32</f>
        <v>4793.53</v>
      </c>
      <c r="N33" s="2"/>
      <c r="O33" s="5"/>
      <c r="P33" s="5">
        <f>P12-P32</f>
        <v>4428.96</v>
      </c>
      <c r="Q33" s="2"/>
      <c r="R33" s="5"/>
      <c r="S33" s="5">
        <f>S12-S32</f>
        <v>3931.0499999999993</v>
      </c>
      <c r="T33" s="2"/>
      <c r="U33" s="5"/>
      <c r="V33" s="5">
        <f>V12-V32</f>
        <v>5771.2</v>
      </c>
      <c r="W33" s="2"/>
      <c r="X33" s="5"/>
      <c r="Y33" s="5">
        <f>Y12-Y32</f>
        <v>5064.6799999999994</v>
      </c>
      <c r="Z33" s="2"/>
      <c r="AA33" s="5"/>
      <c r="AB33" s="5">
        <f>AB12-AB32</f>
        <v>4411.33</v>
      </c>
      <c r="AC33" s="2"/>
      <c r="AD33" s="5"/>
      <c r="AE33" s="5">
        <f>AE12-AE32</f>
        <v>4616.91</v>
      </c>
      <c r="AF33" s="2"/>
      <c r="AG33" s="5"/>
      <c r="AH33" s="5">
        <f>AH12-AH32</f>
        <v>5745.55</v>
      </c>
      <c r="AI33" s="2"/>
      <c r="AJ33" s="5"/>
      <c r="AK33" s="5">
        <f>AK12-AK32</f>
        <v>10850.65</v>
      </c>
      <c r="AL33" s="2"/>
      <c r="AM33" s="15"/>
      <c r="AN33" s="15">
        <f>SUM($D33:$AK33)</f>
        <v>63884.590000000004</v>
      </c>
      <c r="AO33" s="2"/>
    </row>
    <row r="34" spans="2:41" ht="13.5" thickTop="1" x14ac:dyDescent="0.3">
      <c r="B34" s="9"/>
      <c r="C34" s="2"/>
      <c r="D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12"/>
      <c r="AN34" s="12"/>
      <c r="AO34" s="2"/>
    </row>
    <row r="35" spans="2:41" x14ac:dyDescent="0.3">
      <c r="B35" s="8" t="s">
        <v>26</v>
      </c>
      <c r="C35" s="2"/>
      <c r="D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12"/>
      <c r="AN35" s="12"/>
      <c r="AO35" s="2"/>
    </row>
    <row r="36" spans="2:41" x14ac:dyDescent="0.3">
      <c r="B36" s="9" t="s">
        <v>29</v>
      </c>
      <c r="C36" s="2"/>
      <c r="F36" s="2"/>
      <c r="I36" s="2"/>
      <c r="L36" s="2"/>
      <c r="O36" s="2"/>
      <c r="R36" s="2"/>
      <c r="U36" s="2"/>
      <c r="X36" s="2"/>
      <c r="AA36" s="2"/>
      <c r="AD36" s="2"/>
      <c r="AG36" s="2"/>
      <c r="AJ36" s="2"/>
      <c r="AM36" s="12"/>
      <c r="AO36" s="2"/>
    </row>
    <row r="37" spans="2:41" x14ac:dyDescent="0.3">
      <c r="B37" s="10" t="s">
        <v>30</v>
      </c>
      <c r="C37" s="3"/>
      <c r="D37" s="7">
        <v>0.56000000000000005</v>
      </c>
      <c r="F37" s="3"/>
      <c r="G37" s="7">
        <v>0.55000000000000004</v>
      </c>
      <c r="H37" s="2"/>
      <c r="I37" s="3"/>
      <c r="J37" s="7">
        <v>0.63</v>
      </c>
      <c r="K37" s="2"/>
      <c r="L37" s="3"/>
      <c r="M37" s="7">
        <v>0.66</v>
      </c>
      <c r="N37" s="2"/>
      <c r="O37" s="3"/>
      <c r="P37" s="7">
        <v>0.66</v>
      </c>
      <c r="Q37" s="2"/>
      <c r="R37" s="3"/>
      <c r="S37" s="7">
        <v>0.1</v>
      </c>
      <c r="T37" s="2"/>
      <c r="U37" s="3"/>
      <c r="V37" s="7">
        <v>0.13</v>
      </c>
      <c r="W37" s="2"/>
      <c r="X37" s="3"/>
      <c r="Y37" s="7">
        <v>0.18</v>
      </c>
      <c r="Z37" s="2"/>
      <c r="AA37" s="3"/>
      <c r="AB37" s="7">
        <v>0.2</v>
      </c>
      <c r="AC37" s="2"/>
      <c r="AD37" s="3"/>
      <c r="AE37" s="7">
        <v>0.24</v>
      </c>
      <c r="AF37" s="2"/>
      <c r="AG37" s="3"/>
      <c r="AH37" s="7">
        <v>0.28000000000000003</v>
      </c>
      <c r="AI37" s="2"/>
      <c r="AJ37" s="3"/>
      <c r="AK37" s="7">
        <v>0.33</v>
      </c>
      <c r="AL37" s="2"/>
      <c r="AM37" s="13"/>
      <c r="AN37" s="13">
        <f>SUM($D37:$AK37)</f>
        <v>4.5200000000000014</v>
      </c>
      <c r="AO37" s="2"/>
    </row>
    <row r="38" spans="2:41" x14ac:dyDescent="0.3">
      <c r="B38" s="8" t="s">
        <v>27</v>
      </c>
      <c r="C38" s="2"/>
      <c r="D38" s="4">
        <f>D37</f>
        <v>0.56000000000000005</v>
      </c>
      <c r="F38" s="2"/>
      <c r="G38" s="4">
        <f>G37</f>
        <v>0.55000000000000004</v>
      </c>
      <c r="H38" s="2"/>
      <c r="I38" s="2"/>
      <c r="J38" s="4">
        <f>J37</f>
        <v>0.63</v>
      </c>
      <c r="K38" s="2"/>
      <c r="L38" s="2"/>
      <c r="M38" s="4">
        <f>M37</f>
        <v>0.66</v>
      </c>
      <c r="N38" s="2"/>
      <c r="O38" s="2"/>
      <c r="P38" s="4">
        <f>P37</f>
        <v>0.66</v>
      </c>
      <c r="Q38" s="2"/>
      <c r="R38" s="2"/>
      <c r="S38" s="4">
        <f>S37</f>
        <v>0.1</v>
      </c>
      <c r="T38" s="2"/>
      <c r="U38" s="2"/>
      <c r="V38" s="4">
        <f>V37</f>
        <v>0.13</v>
      </c>
      <c r="W38" s="2"/>
      <c r="X38" s="2"/>
      <c r="Y38" s="4">
        <f>Y37</f>
        <v>0.18</v>
      </c>
      <c r="Z38" s="2"/>
      <c r="AA38" s="2"/>
      <c r="AB38" s="4">
        <f>AB37</f>
        <v>0.2</v>
      </c>
      <c r="AC38" s="2"/>
      <c r="AD38" s="2"/>
      <c r="AE38" s="4">
        <f>AE37</f>
        <v>0.24</v>
      </c>
      <c r="AF38" s="2"/>
      <c r="AG38" s="2"/>
      <c r="AH38" s="4">
        <f>AH37</f>
        <v>0.28000000000000003</v>
      </c>
      <c r="AI38" s="2"/>
      <c r="AJ38" s="2"/>
      <c r="AK38" s="4">
        <f>AK37</f>
        <v>0.33</v>
      </c>
      <c r="AL38" s="2"/>
      <c r="AM38" s="12"/>
      <c r="AN38" s="14">
        <f>AN37</f>
        <v>4.5200000000000014</v>
      </c>
      <c r="AO38" s="2"/>
    </row>
    <row r="39" spans="2:41" ht="13.5" thickBot="1" x14ac:dyDescent="0.35">
      <c r="B39" s="8" t="s">
        <v>28</v>
      </c>
      <c r="C39" s="16"/>
      <c r="D39" s="16">
        <f>D38+D33</f>
        <v>4888.2599999999993</v>
      </c>
      <c r="E39" s="8"/>
      <c r="F39" s="16"/>
      <c r="G39" s="16">
        <f>G38+G33</f>
        <v>4507.5999999999995</v>
      </c>
      <c r="H39" s="17"/>
      <c r="I39" s="16"/>
      <c r="J39" s="16">
        <f>J38+J33</f>
        <v>4876.6099999999997</v>
      </c>
      <c r="K39" s="17"/>
      <c r="L39" s="16"/>
      <c r="M39" s="16">
        <f>M38+M33</f>
        <v>4794.1899999999996</v>
      </c>
      <c r="N39" s="17"/>
      <c r="O39" s="16"/>
      <c r="P39" s="16">
        <f>P38+P33</f>
        <v>4429.62</v>
      </c>
      <c r="Q39" s="17"/>
      <c r="R39" s="16"/>
      <c r="S39" s="16">
        <f>S38+S33</f>
        <v>3931.1499999999992</v>
      </c>
      <c r="T39" s="17"/>
      <c r="U39" s="16"/>
      <c r="V39" s="16">
        <f>V38+V33</f>
        <v>5771.33</v>
      </c>
      <c r="W39" s="17"/>
      <c r="X39" s="16"/>
      <c r="Y39" s="16">
        <f>Y38+Y33</f>
        <v>5064.8599999999997</v>
      </c>
      <c r="Z39" s="17"/>
      <c r="AA39" s="16"/>
      <c r="AB39" s="16">
        <f>AB38+AB33</f>
        <v>4411.53</v>
      </c>
      <c r="AC39" s="17"/>
      <c r="AD39" s="16"/>
      <c r="AE39" s="16">
        <f>AE38+AE33</f>
        <v>4617.1499999999996</v>
      </c>
      <c r="AF39" s="17"/>
      <c r="AG39" s="16"/>
      <c r="AH39" s="16">
        <f>AH38+AH33</f>
        <v>5745.83</v>
      </c>
      <c r="AI39" s="17"/>
      <c r="AJ39" s="16"/>
      <c r="AK39" s="16">
        <f>AK38+AK33</f>
        <v>10850.98</v>
      </c>
      <c r="AL39" s="17"/>
      <c r="AM39" s="18"/>
      <c r="AN39" s="18">
        <f>AN38+AN33</f>
        <v>63889.11</v>
      </c>
      <c r="AO39" s="2"/>
    </row>
    <row r="40" spans="2:41" ht="13.5" thickTop="1" x14ac:dyDescent="0.3">
      <c r="C40" s="2"/>
      <c r="D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</row>
    <row r="41" spans="2:41" x14ac:dyDescent="0.3">
      <c r="C41" s="2"/>
      <c r="D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</row>
    <row r="42" spans="2:41" x14ac:dyDescent="0.3">
      <c r="C42" s="2"/>
      <c r="D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</row>
    <row r="43" spans="2:41" x14ac:dyDescent="0.3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</row>
    <row r="44" spans="2:41" x14ac:dyDescent="0.3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</row>
    <row r="45" spans="2:41" x14ac:dyDescent="0.3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</row>
    <row r="46" spans="2:41" x14ac:dyDescent="0.3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</row>
    <row r="47" spans="2:41" x14ac:dyDescent="0.3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</row>
    <row r="48" spans="2:41" x14ac:dyDescent="0.3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</row>
    <row r="49" spans="3:41" x14ac:dyDescent="0.3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</row>
    <row r="50" spans="3:41" x14ac:dyDescent="0.3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</row>
    <row r="51" spans="3:41" x14ac:dyDescent="0.3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</row>
    <row r="52" spans="3:41" x14ac:dyDescent="0.3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</row>
    <row r="53" spans="3:41" x14ac:dyDescent="0.3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</row>
    <row r="54" spans="3:41" x14ac:dyDescent="0.3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</row>
    <row r="55" spans="3:41" x14ac:dyDescent="0.3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</row>
    <row r="56" spans="3:41" x14ac:dyDescent="0.3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</row>
    <row r="57" spans="3:41" x14ac:dyDescent="0.3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</row>
    <row r="58" spans="3:41" x14ac:dyDescent="0.3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</row>
    <row r="59" spans="3:41" x14ac:dyDescent="0.3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</row>
    <row r="60" spans="3:41" x14ac:dyDescent="0.3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</row>
    <row r="61" spans="3:41" x14ac:dyDescent="0.3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</row>
    <row r="62" spans="3:41" x14ac:dyDescent="0.3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</row>
  </sheetData>
  <mergeCells count="13">
    <mergeCell ref="AM6:AN6"/>
    <mergeCell ref="U6:V6"/>
    <mergeCell ref="X6:Y6"/>
    <mergeCell ref="AA6:AB6"/>
    <mergeCell ref="AD6:AE6"/>
    <mergeCell ref="AG6:AH6"/>
    <mergeCell ref="AJ6:AK6"/>
    <mergeCell ref="R6:S6"/>
    <mergeCell ref="C6:D6"/>
    <mergeCell ref="F6:G6"/>
    <mergeCell ref="I6:J6"/>
    <mergeCell ref="L6:M6"/>
    <mergeCell ref="O6:P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7DF7B-CA9B-4285-A29A-6E56C35A1026}">
  <dimension ref="B2:AB38"/>
  <sheetViews>
    <sheetView showGridLines="0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B55" sqref="B55"/>
    </sheetView>
  </sheetViews>
  <sheetFormatPr defaultColWidth="9.36328125" defaultRowHeight="13" x14ac:dyDescent="0.3"/>
  <cols>
    <col min="1" max="1" width="2.36328125" style="1" customWidth="1"/>
    <col min="2" max="2" width="36.36328125" style="1" bestFit="1" customWidth="1"/>
    <col min="3" max="3" width="1.453125" style="1" customWidth="1"/>
    <col min="4" max="4" width="11" style="1" bestFit="1" customWidth="1"/>
    <col min="5" max="5" width="1.453125" style="1" customWidth="1"/>
    <col min="6" max="6" width="11" style="1" bestFit="1" customWidth="1"/>
    <col min="7" max="7" width="1.453125" style="1" customWidth="1"/>
    <col min="8" max="8" width="11" style="1" bestFit="1" customWidth="1"/>
    <col min="9" max="9" width="1.453125" style="1" customWidth="1"/>
    <col min="10" max="10" width="11" style="1" bestFit="1" customWidth="1"/>
    <col min="11" max="11" width="1.453125" style="1" customWidth="1"/>
    <col min="12" max="12" width="11" style="1" bestFit="1" customWidth="1"/>
    <col min="13" max="13" width="1.453125" style="1" customWidth="1"/>
    <col min="14" max="14" width="11" style="1" bestFit="1" customWidth="1"/>
    <col min="15" max="15" width="1.453125" style="1" customWidth="1"/>
    <col min="16" max="16" width="11" style="1" bestFit="1" customWidth="1"/>
    <col min="17" max="17" width="1.453125" style="1" customWidth="1"/>
    <col min="18" max="18" width="11" style="1" bestFit="1" customWidth="1"/>
    <col min="19" max="19" width="1.453125" style="1" customWidth="1"/>
    <col min="20" max="20" width="11" style="1" bestFit="1" customWidth="1"/>
    <col min="21" max="21" width="1.453125" style="1" customWidth="1"/>
    <col min="22" max="22" width="11" style="1" bestFit="1" customWidth="1"/>
    <col min="23" max="23" width="1.453125" style="1" customWidth="1"/>
    <col min="24" max="24" width="11" style="1" bestFit="1" customWidth="1"/>
    <col min="25" max="25" width="1.453125" style="1" customWidth="1"/>
    <col min="26" max="26" width="11.54296875" style="1" bestFit="1" customWidth="1"/>
    <col min="27" max="16384" width="9.36328125" style="1"/>
  </cols>
  <sheetData>
    <row r="2" spans="2:28" ht="23.5" x14ac:dyDescent="0.55000000000000004">
      <c r="B2" s="19" t="s">
        <v>31</v>
      </c>
    </row>
    <row r="3" spans="2:28" ht="23.5" x14ac:dyDescent="0.55000000000000004">
      <c r="B3" s="19" t="s">
        <v>73</v>
      </c>
    </row>
    <row r="4" spans="2:28" ht="23.5" x14ac:dyDescent="0.55000000000000004">
      <c r="B4" s="19" t="s">
        <v>74</v>
      </c>
    </row>
    <row r="6" spans="2:28" x14ac:dyDescent="0.3">
      <c r="D6" s="23" t="s">
        <v>33</v>
      </c>
      <c r="E6" s="23"/>
      <c r="F6" s="23" t="s">
        <v>34</v>
      </c>
      <c r="G6" s="23"/>
      <c r="H6" s="23" t="s">
        <v>35</v>
      </c>
      <c r="I6" s="23"/>
      <c r="J6" s="23" t="s">
        <v>36</v>
      </c>
      <c r="K6" s="23"/>
      <c r="L6" s="23" t="s">
        <v>37</v>
      </c>
      <c r="M6" s="23"/>
      <c r="N6" s="23" t="s">
        <v>38</v>
      </c>
      <c r="O6" s="23"/>
      <c r="P6" s="23" t="s">
        <v>39</v>
      </c>
      <c r="Q6" s="23"/>
      <c r="R6" s="23" t="s">
        <v>40</v>
      </c>
      <c r="S6" s="23"/>
      <c r="T6" s="23" t="s">
        <v>41</v>
      </c>
      <c r="U6" s="23"/>
      <c r="V6" s="23" t="s">
        <v>42</v>
      </c>
      <c r="W6" s="23"/>
      <c r="X6" s="23" t="s">
        <v>43</v>
      </c>
      <c r="Y6" s="23"/>
      <c r="Z6" s="23" t="s">
        <v>44</v>
      </c>
    </row>
    <row r="7" spans="2:28" x14ac:dyDescent="0.3">
      <c r="B7" s="8" t="s">
        <v>47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2:28" x14ac:dyDescent="0.3">
      <c r="B8" s="9" t="s">
        <v>67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2:28" x14ac:dyDescent="0.3">
      <c r="B9" s="10" t="s">
        <v>68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2:28" x14ac:dyDescent="0.3">
      <c r="B10" s="11" t="s">
        <v>48</v>
      </c>
      <c r="D10" s="6">
        <v>65449.74</v>
      </c>
      <c r="E10" s="2"/>
      <c r="F10" s="6">
        <v>70287.09</v>
      </c>
      <c r="G10" s="2"/>
      <c r="H10" s="6">
        <v>75173.8</v>
      </c>
      <c r="I10" s="2"/>
      <c r="J10" s="6">
        <v>78420.86</v>
      </c>
      <c r="K10" s="2"/>
      <c r="L10" s="6">
        <v>8476.89</v>
      </c>
      <c r="M10" s="2"/>
      <c r="N10" s="6">
        <v>12359.06</v>
      </c>
      <c r="O10" s="2"/>
      <c r="P10" s="6">
        <v>16190.54</v>
      </c>
      <c r="Q10" s="2"/>
      <c r="R10" s="6">
        <v>21224.95</v>
      </c>
      <c r="S10" s="2"/>
      <c r="T10" s="6">
        <v>25875.75</v>
      </c>
      <c r="U10" s="2"/>
      <c r="V10" s="6">
        <v>29335.55</v>
      </c>
      <c r="W10" s="2"/>
      <c r="X10" s="6">
        <v>34531.43</v>
      </c>
      <c r="Y10" s="2"/>
      <c r="Z10" s="6">
        <v>7517.04</v>
      </c>
      <c r="AA10" s="2"/>
      <c r="AB10" s="2"/>
    </row>
    <row r="11" spans="2:28" x14ac:dyDescent="0.3">
      <c r="B11" s="11" t="s">
        <v>49</v>
      </c>
      <c r="D11" s="7">
        <v>1.9</v>
      </c>
      <c r="E11" s="2"/>
      <c r="F11" s="7">
        <v>1.9</v>
      </c>
      <c r="G11" s="2"/>
      <c r="H11" s="7">
        <v>1.9</v>
      </c>
      <c r="I11" s="2"/>
      <c r="J11" s="7">
        <v>1.9</v>
      </c>
      <c r="K11" s="2"/>
      <c r="L11" s="7">
        <v>1.9</v>
      </c>
      <c r="M11" s="2"/>
      <c r="N11" s="7">
        <v>1.9</v>
      </c>
      <c r="O11" s="2"/>
      <c r="P11" s="7">
        <v>1.9</v>
      </c>
      <c r="Q11" s="2"/>
      <c r="R11" s="7">
        <v>1.9</v>
      </c>
      <c r="S11" s="2"/>
      <c r="T11" s="7">
        <v>1.9</v>
      </c>
      <c r="U11" s="2"/>
      <c r="V11" s="7">
        <v>1.9</v>
      </c>
      <c r="W11" s="2"/>
      <c r="X11" s="7">
        <v>1.9</v>
      </c>
      <c r="Y11" s="2"/>
      <c r="Z11" s="7">
        <v>1.9</v>
      </c>
      <c r="AA11" s="2"/>
      <c r="AB11" s="2"/>
    </row>
    <row r="12" spans="2:28" x14ac:dyDescent="0.3">
      <c r="B12" s="10" t="s">
        <v>50</v>
      </c>
      <c r="D12" s="2">
        <f>SUM(D10:D11)</f>
        <v>65451.64</v>
      </c>
      <c r="E12" s="2"/>
      <c r="F12" s="2">
        <f>SUM(F10:F11)</f>
        <v>70288.989999999991</v>
      </c>
      <c r="G12" s="2"/>
      <c r="H12" s="2">
        <f>SUM(H10:H11)</f>
        <v>75175.7</v>
      </c>
      <c r="I12" s="2"/>
      <c r="J12" s="2">
        <f>SUM(J10:J11)</f>
        <v>78422.759999999995</v>
      </c>
      <c r="K12" s="2"/>
      <c r="L12" s="2">
        <f>SUM(L10:L11)</f>
        <v>8478.7899999999991</v>
      </c>
      <c r="M12" s="2"/>
      <c r="N12" s="2">
        <f>SUM(N10:N11)</f>
        <v>12360.96</v>
      </c>
      <c r="O12" s="2"/>
      <c r="P12" s="2">
        <f>SUM(P10:P11)</f>
        <v>16192.44</v>
      </c>
      <c r="Q12" s="2"/>
      <c r="R12" s="2">
        <f>SUM(R10:R11)</f>
        <v>21226.850000000002</v>
      </c>
      <c r="S12" s="2"/>
      <c r="T12" s="2">
        <f>SUM(T10:T11)</f>
        <v>25877.65</v>
      </c>
      <c r="U12" s="2"/>
      <c r="V12" s="2">
        <f>SUM(V10:V11)</f>
        <v>29337.45</v>
      </c>
      <c r="W12" s="2"/>
      <c r="X12" s="2">
        <f>SUM(X10:X11)</f>
        <v>34533.33</v>
      </c>
      <c r="Y12" s="2"/>
      <c r="Z12" s="2">
        <f>SUM(Z10:Z11)</f>
        <v>7518.94</v>
      </c>
      <c r="AA12" s="2"/>
      <c r="AB12" s="2"/>
    </row>
    <row r="13" spans="2:28" x14ac:dyDescent="0.3">
      <c r="B13" s="10" t="s">
        <v>65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spans="2:28" x14ac:dyDescent="0.3">
      <c r="B14" s="11" t="s">
        <v>66</v>
      </c>
      <c r="D14" s="7">
        <v>47422.67</v>
      </c>
      <c r="E14" s="2"/>
      <c r="F14" s="7">
        <v>47749.61</v>
      </c>
      <c r="G14" s="2"/>
      <c r="H14" s="7">
        <v>48673.22</v>
      </c>
      <c r="I14" s="2"/>
      <c r="J14" s="7">
        <v>48261.38</v>
      </c>
      <c r="K14" s="2"/>
      <c r="L14" s="7">
        <v>48969.27</v>
      </c>
      <c r="M14" s="2"/>
      <c r="N14" s="7">
        <v>48907.97</v>
      </c>
      <c r="O14" s="2"/>
      <c r="P14" s="7">
        <v>49794.94</v>
      </c>
      <c r="Q14" s="2"/>
      <c r="R14" s="7">
        <v>50478.18</v>
      </c>
      <c r="S14" s="2"/>
      <c r="T14" s="7">
        <v>51050.39</v>
      </c>
      <c r="U14" s="2"/>
      <c r="V14" s="7">
        <v>50582.1</v>
      </c>
      <c r="W14" s="2"/>
      <c r="X14" s="7">
        <v>51250.37</v>
      </c>
      <c r="Y14" s="2"/>
      <c r="Z14" s="7">
        <v>50292.72</v>
      </c>
      <c r="AA14" s="2"/>
      <c r="AB14" s="2"/>
    </row>
    <row r="15" spans="2:28" x14ac:dyDescent="0.3">
      <c r="B15" s="10" t="s">
        <v>51</v>
      </c>
      <c r="D15" s="4">
        <f>D14</f>
        <v>47422.67</v>
      </c>
      <c r="E15" s="2"/>
      <c r="F15" s="4">
        <f>F14</f>
        <v>47749.61</v>
      </c>
      <c r="G15" s="2"/>
      <c r="H15" s="4">
        <f>H14</f>
        <v>48673.22</v>
      </c>
      <c r="I15" s="2"/>
      <c r="J15" s="4">
        <f>J14</f>
        <v>48261.38</v>
      </c>
      <c r="K15" s="2"/>
      <c r="L15" s="4">
        <f>L14</f>
        <v>48969.27</v>
      </c>
      <c r="M15" s="2"/>
      <c r="N15" s="4">
        <f>N14</f>
        <v>48907.97</v>
      </c>
      <c r="O15" s="2"/>
      <c r="P15" s="4">
        <f>P14</f>
        <v>49794.94</v>
      </c>
      <c r="Q15" s="2"/>
      <c r="R15" s="4">
        <f>R14</f>
        <v>50478.18</v>
      </c>
      <c r="S15" s="2"/>
      <c r="T15" s="4">
        <f>T14</f>
        <v>51050.39</v>
      </c>
      <c r="U15" s="2"/>
      <c r="V15" s="4">
        <f>V14</f>
        <v>50582.1</v>
      </c>
      <c r="W15" s="2"/>
      <c r="X15" s="4">
        <f>X14</f>
        <v>51250.37</v>
      </c>
      <c r="Y15" s="2"/>
      <c r="Z15" s="4">
        <f>Z14</f>
        <v>50292.72</v>
      </c>
      <c r="AA15" s="2"/>
      <c r="AB15" s="2"/>
    </row>
    <row r="16" spans="2:28" x14ac:dyDescent="0.3">
      <c r="B16" s="9" t="s">
        <v>52</v>
      </c>
      <c r="D16" s="4">
        <f>D15+D12</f>
        <v>112874.31</v>
      </c>
      <c r="E16" s="2"/>
      <c r="F16" s="4">
        <f>F15+F12</f>
        <v>118038.59999999999</v>
      </c>
      <c r="G16" s="2"/>
      <c r="H16" s="4">
        <f>H15+H12</f>
        <v>123848.92</v>
      </c>
      <c r="I16" s="2"/>
      <c r="J16" s="4">
        <f>J15+J12</f>
        <v>126684.13999999998</v>
      </c>
      <c r="K16" s="2"/>
      <c r="L16" s="4">
        <f>L15+L12</f>
        <v>57448.06</v>
      </c>
      <c r="M16" s="2"/>
      <c r="N16" s="4">
        <f>N15+N12</f>
        <v>61268.93</v>
      </c>
      <c r="O16" s="2"/>
      <c r="P16" s="4">
        <f>P15+P12</f>
        <v>65987.38</v>
      </c>
      <c r="Q16" s="2"/>
      <c r="R16" s="4">
        <f>R15+R12</f>
        <v>71705.03</v>
      </c>
      <c r="S16" s="2"/>
      <c r="T16" s="4">
        <f>T15+T12</f>
        <v>76928.040000000008</v>
      </c>
      <c r="U16" s="2"/>
      <c r="V16" s="4">
        <f>V15+V12</f>
        <v>79919.55</v>
      </c>
      <c r="W16" s="2"/>
      <c r="X16" s="4">
        <f>X15+X12</f>
        <v>85783.700000000012</v>
      </c>
      <c r="Y16" s="2"/>
      <c r="Z16" s="4">
        <f>Z15+Z12</f>
        <v>57811.66</v>
      </c>
      <c r="AA16" s="2"/>
      <c r="AB16" s="2"/>
    </row>
    <row r="17" spans="2:28" ht="13.5" thickBot="1" x14ac:dyDescent="0.35">
      <c r="B17" s="8" t="s">
        <v>53</v>
      </c>
      <c r="D17" s="24">
        <f>D16</f>
        <v>112874.31</v>
      </c>
      <c r="E17" s="17"/>
      <c r="F17" s="24">
        <f>F16</f>
        <v>118038.59999999999</v>
      </c>
      <c r="G17" s="17"/>
      <c r="H17" s="24">
        <f>H16</f>
        <v>123848.92</v>
      </c>
      <c r="I17" s="17"/>
      <c r="J17" s="24">
        <f>J16</f>
        <v>126684.13999999998</v>
      </c>
      <c r="K17" s="17"/>
      <c r="L17" s="24">
        <f>L16</f>
        <v>57448.06</v>
      </c>
      <c r="M17" s="17"/>
      <c r="N17" s="24">
        <f>N16</f>
        <v>61268.93</v>
      </c>
      <c r="O17" s="17"/>
      <c r="P17" s="24">
        <f>P16</f>
        <v>65987.38</v>
      </c>
      <c r="Q17" s="17"/>
      <c r="R17" s="24">
        <f>R16</f>
        <v>71705.03</v>
      </c>
      <c r="S17" s="17"/>
      <c r="T17" s="24">
        <f>T16</f>
        <v>76928.040000000008</v>
      </c>
      <c r="U17" s="17"/>
      <c r="V17" s="24">
        <f>V16</f>
        <v>79919.55</v>
      </c>
      <c r="W17" s="17"/>
      <c r="X17" s="24">
        <f>X16</f>
        <v>85783.700000000012</v>
      </c>
      <c r="Y17" s="17"/>
      <c r="Z17" s="24">
        <f>Z16</f>
        <v>57811.66</v>
      </c>
      <c r="AA17" s="2"/>
      <c r="AB17" s="2"/>
    </row>
    <row r="18" spans="2:28" ht="13.5" thickTop="1" x14ac:dyDescent="0.3">
      <c r="B18" s="8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spans="2:28" x14ac:dyDescent="0.3">
      <c r="B19" s="8" t="s">
        <v>54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spans="2:28" x14ac:dyDescent="0.3">
      <c r="B20" s="9" t="s">
        <v>55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spans="2:28" x14ac:dyDescent="0.3">
      <c r="B21" s="10" t="s">
        <v>56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spans="2:28" x14ac:dyDescent="0.3">
      <c r="B22" s="11" t="s">
        <v>57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spans="2:28" ht="14.5" x14ac:dyDescent="0.45">
      <c r="B23" s="20" t="s">
        <v>58</v>
      </c>
      <c r="D23" s="22">
        <v>561.6</v>
      </c>
      <c r="E23" s="2"/>
      <c r="F23" s="22">
        <v>1218.29</v>
      </c>
      <c r="G23" s="2"/>
      <c r="H23" s="22">
        <v>2152</v>
      </c>
      <c r="I23" s="2"/>
      <c r="J23" s="22">
        <v>193.03</v>
      </c>
      <c r="K23" s="2"/>
      <c r="L23" s="22">
        <v>1527.33</v>
      </c>
      <c r="M23" s="2"/>
      <c r="N23" s="22">
        <v>1417.05</v>
      </c>
      <c r="O23" s="2"/>
      <c r="P23" s="22">
        <v>364.17</v>
      </c>
      <c r="Q23" s="2"/>
      <c r="R23" s="22">
        <v>1016.96</v>
      </c>
      <c r="S23" s="2"/>
      <c r="T23" s="22">
        <v>1828.44</v>
      </c>
      <c r="U23" s="2"/>
      <c r="V23" s="22">
        <v>202.8</v>
      </c>
      <c r="W23" s="2"/>
      <c r="X23" s="22">
        <v>321.12</v>
      </c>
      <c r="Y23" s="2"/>
      <c r="Z23" s="22">
        <v>1498.1</v>
      </c>
      <c r="AA23" s="2"/>
      <c r="AB23" s="2"/>
    </row>
    <row r="24" spans="2:28" x14ac:dyDescent="0.3">
      <c r="B24" s="11" t="s">
        <v>59</v>
      </c>
      <c r="D24" s="2">
        <f>SUM(D23)</f>
        <v>561.6</v>
      </c>
      <c r="E24" s="2"/>
      <c r="F24" s="2">
        <f>SUM(F23)</f>
        <v>1218.29</v>
      </c>
      <c r="G24" s="2"/>
      <c r="H24" s="2">
        <f>SUM(H23)</f>
        <v>2152</v>
      </c>
      <c r="I24" s="2"/>
      <c r="J24" s="2">
        <f>SUM(J23)</f>
        <v>193.03</v>
      </c>
      <c r="K24" s="2"/>
      <c r="L24" s="2">
        <f>SUM(L23)</f>
        <v>1527.33</v>
      </c>
      <c r="M24" s="2"/>
      <c r="N24" s="2">
        <f>SUM(N23)</f>
        <v>1417.05</v>
      </c>
      <c r="O24" s="2"/>
      <c r="P24" s="2">
        <f>SUM(P23)</f>
        <v>364.17</v>
      </c>
      <c r="Q24" s="2"/>
      <c r="R24" s="2">
        <f>SUM(R23)</f>
        <v>1016.96</v>
      </c>
      <c r="S24" s="2"/>
      <c r="T24" s="2">
        <f>SUM(T23)</f>
        <v>1828.44</v>
      </c>
      <c r="U24" s="2"/>
      <c r="V24" s="2">
        <f>SUM(V23)</f>
        <v>202.8</v>
      </c>
      <c r="W24" s="2"/>
      <c r="X24" s="2">
        <f>SUM(X23)</f>
        <v>321.12</v>
      </c>
      <c r="Y24" s="2"/>
      <c r="Z24" s="2">
        <f>SUM(Z23)</f>
        <v>1498.1</v>
      </c>
      <c r="AA24" s="2"/>
      <c r="AB24" s="2"/>
    </row>
    <row r="25" spans="2:28" x14ac:dyDescent="0.3">
      <c r="B25" s="11" t="s">
        <v>70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spans="2:28" ht="14.5" x14ac:dyDescent="0.45">
      <c r="B26" s="20" t="s">
        <v>69</v>
      </c>
      <c r="D26" s="22">
        <v>0</v>
      </c>
      <c r="E26" s="2"/>
      <c r="F26" s="22">
        <v>0</v>
      </c>
      <c r="G26" s="2"/>
      <c r="H26" s="22">
        <v>0</v>
      </c>
      <c r="I26" s="2"/>
      <c r="J26" s="22">
        <v>0</v>
      </c>
      <c r="K26" s="2"/>
      <c r="L26" s="22">
        <v>-75000</v>
      </c>
      <c r="M26" s="2"/>
      <c r="N26" s="22">
        <v>-75000</v>
      </c>
      <c r="O26" s="2"/>
      <c r="P26" s="22">
        <v>-75000</v>
      </c>
      <c r="Q26" s="2"/>
      <c r="R26" s="22">
        <v>-75000</v>
      </c>
      <c r="S26" s="2"/>
      <c r="T26" s="22">
        <v>-75000</v>
      </c>
      <c r="U26" s="2"/>
      <c r="V26" s="22">
        <v>-75000</v>
      </c>
      <c r="W26" s="2"/>
      <c r="X26" s="22">
        <v>-75000</v>
      </c>
      <c r="Y26" s="2"/>
      <c r="Z26" s="22">
        <v>-115000</v>
      </c>
      <c r="AA26" s="2"/>
      <c r="AB26" s="2"/>
    </row>
    <row r="27" spans="2:28" x14ac:dyDescent="0.3">
      <c r="B27" s="11" t="s">
        <v>60</v>
      </c>
      <c r="D27" s="3">
        <f>SUM(D26)</f>
        <v>0</v>
      </c>
      <c r="E27" s="2"/>
      <c r="F27" s="3">
        <f>SUM(F26)</f>
        <v>0</v>
      </c>
      <c r="G27" s="2"/>
      <c r="H27" s="3">
        <f>SUM(H26)</f>
        <v>0</v>
      </c>
      <c r="I27" s="2"/>
      <c r="J27" s="3">
        <f>SUM(J26)</f>
        <v>0</v>
      </c>
      <c r="K27" s="2"/>
      <c r="L27" s="3">
        <f>SUM(L26)</f>
        <v>-75000</v>
      </c>
      <c r="M27" s="2"/>
      <c r="N27" s="3">
        <f>SUM(N26)</f>
        <v>-75000</v>
      </c>
      <c r="O27" s="2"/>
      <c r="P27" s="3">
        <f>SUM(P26)</f>
        <v>-75000</v>
      </c>
      <c r="Q27" s="2"/>
      <c r="R27" s="3">
        <f>SUM(R26)</f>
        <v>-75000</v>
      </c>
      <c r="S27" s="2"/>
      <c r="T27" s="3">
        <f>SUM(T26)</f>
        <v>-75000</v>
      </c>
      <c r="U27" s="2"/>
      <c r="V27" s="3">
        <f>SUM(V26)</f>
        <v>-75000</v>
      </c>
      <c r="W27" s="2"/>
      <c r="X27" s="3">
        <f>SUM(X26)</f>
        <v>-75000</v>
      </c>
      <c r="Y27" s="2"/>
      <c r="Z27" s="3">
        <f>SUM(Z26)</f>
        <v>-115000</v>
      </c>
      <c r="AA27" s="2"/>
      <c r="AB27" s="2"/>
    </row>
    <row r="28" spans="2:28" x14ac:dyDescent="0.3">
      <c r="B28" s="10" t="s">
        <v>61</v>
      </c>
      <c r="D28" s="3">
        <f>D27+D24</f>
        <v>561.6</v>
      </c>
      <c r="E28" s="2"/>
      <c r="F28" s="3">
        <f>F27+F24</f>
        <v>1218.29</v>
      </c>
      <c r="G28" s="2"/>
      <c r="H28" s="3">
        <f>H27+H24</f>
        <v>2152</v>
      </c>
      <c r="I28" s="2"/>
      <c r="J28" s="3">
        <f>J27+J24</f>
        <v>193.03</v>
      </c>
      <c r="K28" s="2"/>
      <c r="L28" s="3">
        <f>L27+L24</f>
        <v>-73472.67</v>
      </c>
      <c r="M28" s="2"/>
      <c r="N28" s="3">
        <f>N27+N24</f>
        <v>-73582.95</v>
      </c>
      <c r="O28" s="2"/>
      <c r="P28" s="3">
        <f>P27+P24</f>
        <v>-74635.83</v>
      </c>
      <c r="Q28" s="2"/>
      <c r="R28" s="3">
        <f>R27+R24</f>
        <v>-73983.039999999994</v>
      </c>
      <c r="S28" s="2"/>
      <c r="T28" s="3">
        <f>T27+T24</f>
        <v>-73171.56</v>
      </c>
      <c r="U28" s="2"/>
      <c r="V28" s="3">
        <f>V27+V24</f>
        <v>-74797.2</v>
      </c>
      <c r="W28" s="2"/>
      <c r="X28" s="3">
        <f>X27+X24</f>
        <v>-74678.880000000005</v>
      </c>
      <c r="Y28" s="2"/>
      <c r="Z28" s="3">
        <f>Z27+Z24</f>
        <v>-113501.9</v>
      </c>
      <c r="AA28" s="2"/>
      <c r="AB28" s="2"/>
    </row>
    <row r="29" spans="2:28" x14ac:dyDescent="0.3">
      <c r="B29" s="8" t="s">
        <v>62</v>
      </c>
      <c r="D29" s="2">
        <f>D28</f>
        <v>561.6</v>
      </c>
      <c r="E29" s="2"/>
      <c r="F29" s="2">
        <f>F28</f>
        <v>1218.29</v>
      </c>
      <c r="G29" s="2"/>
      <c r="H29" s="2">
        <f>H28</f>
        <v>2152</v>
      </c>
      <c r="I29" s="2"/>
      <c r="J29" s="2">
        <f>J28</f>
        <v>193.03</v>
      </c>
      <c r="K29" s="2"/>
      <c r="L29" s="2">
        <f>L28</f>
        <v>-73472.67</v>
      </c>
      <c r="M29" s="2"/>
      <c r="N29" s="2">
        <f>N28</f>
        <v>-73582.95</v>
      </c>
      <c r="O29" s="2"/>
      <c r="P29" s="2">
        <f>P28</f>
        <v>-74635.83</v>
      </c>
      <c r="Q29" s="2"/>
      <c r="R29" s="2">
        <f>R28</f>
        <v>-73983.039999999994</v>
      </c>
      <c r="S29" s="2"/>
      <c r="T29" s="2">
        <f>T28</f>
        <v>-73171.56</v>
      </c>
      <c r="U29" s="2"/>
      <c r="V29" s="2">
        <f>V28</f>
        <v>-74797.2</v>
      </c>
      <c r="W29" s="2"/>
      <c r="X29" s="2">
        <f>X28</f>
        <v>-74678.880000000005</v>
      </c>
      <c r="Y29" s="2"/>
      <c r="Z29" s="2">
        <f>Z28</f>
        <v>-113501.9</v>
      </c>
      <c r="AA29" s="2"/>
      <c r="AB29" s="2"/>
    </row>
    <row r="30" spans="2:28" x14ac:dyDescent="0.3">
      <c r="B30" s="8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spans="2:28" x14ac:dyDescent="0.3">
      <c r="B31" s="9" t="s">
        <v>72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spans="2:28" x14ac:dyDescent="0.3">
      <c r="B32" s="10" t="s">
        <v>71</v>
      </c>
      <c r="D32" s="6">
        <v>107424.45</v>
      </c>
      <c r="E32" s="2"/>
      <c r="F32" s="6">
        <v>107424.45</v>
      </c>
      <c r="G32" s="2"/>
      <c r="H32" s="6">
        <v>107424.45</v>
      </c>
      <c r="I32" s="2"/>
      <c r="J32" s="6">
        <v>107424.45</v>
      </c>
      <c r="K32" s="2"/>
      <c r="L32" s="6">
        <v>107424.45</v>
      </c>
      <c r="M32" s="2"/>
      <c r="N32" s="6">
        <v>107424.45</v>
      </c>
      <c r="O32" s="2"/>
      <c r="P32" s="6">
        <v>107424.45</v>
      </c>
      <c r="Q32" s="2"/>
      <c r="R32" s="6">
        <v>107424.45</v>
      </c>
      <c r="S32" s="2"/>
      <c r="T32" s="6">
        <v>107424.45</v>
      </c>
      <c r="U32" s="2"/>
      <c r="V32" s="6">
        <v>107424.45</v>
      </c>
      <c r="W32" s="2"/>
      <c r="X32" s="6">
        <v>107424.45</v>
      </c>
      <c r="Y32" s="2"/>
      <c r="Z32" s="6">
        <v>107424.45</v>
      </c>
      <c r="AA32" s="2"/>
      <c r="AB32" s="2"/>
    </row>
    <row r="33" spans="2:28" x14ac:dyDescent="0.3">
      <c r="B33" s="10" t="s">
        <v>28</v>
      </c>
      <c r="D33" s="7">
        <v>4888.26</v>
      </c>
      <c r="E33" s="2"/>
      <c r="F33" s="7">
        <v>9395.86</v>
      </c>
      <c r="G33" s="2"/>
      <c r="H33" s="7">
        <v>14272.47</v>
      </c>
      <c r="I33" s="2"/>
      <c r="J33" s="7">
        <v>19066.66</v>
      </c>
      <c r="K33" s="2"/>
      <c r="L33" s="7">
        <v>23496.28</v>
      </c>
      <c r="M33" s="2"/>
      <c r="N33" s="7">
        <v>27427.43</v>
      </c>
      <c r="O33" s="2"/>
      <c r="P33" s="7">
        <v>33198.76</v>
      </c>
      <c r="Q33" s="2"/>
      <c r="R33" s="7">
        <v>38263.620000000003</v>
      </c>
      <c r="S33" s="2"/>
      <c r="T33" s="7">
        <v>42675.15</v>
      </c>
      <c r="U33" s="2"/>
      <c r="V33" s="7">
        <v>47292.3</v>
      </c>
      <c r="W33" s="2"/>
      <c r="X33" s="7">
        <v>53038.13</v>
      </c>
      <c r="Y33" s="2"/>
      <c r="Z33" s="7">
        <v>63889.11</v>
      </c>
      <c r="AA33" s="2"/>
      <c r="AB33" s="2"/>
    </row>
    <row r="34" spans="2:28" ht="14.5" x14ac:dyDescent="0.45">
      <c r="B34" s="9" t="s">
        <v>63</v>
      </c>
      <c r="D34" s="21">
        <f>SUM(D32:D33)</f>
        <v>112312.70999999999</v>
      </c>
      <c r="E34" s="2"/>
      <c r="F34" s="21">
        <f>SUM(F32:F33)</f>
        <v>116820.31</v>
      </c>
      <c r="G34" s="2"/>
      <c r="H34" s="21">
        <f>SUM(H32:H33)</f>
        <v>121696.92</v>
      </c>
      <c r="I34" s="2"/>
      <c r="J34" s="21">
        <f>SUM(J32:J33)</f>
        <v>126491.11</v>
      </c>
      <c r="K34" s="2"/>
      <c r="L34" s="21">
        <f>SUM(L32:L33)</f>
        <v>130920.73</v>
      </c>
      <c r="M34" s="2"/>
      <c r="N34" s="21">
        <f>SUM(N32:N33)</f>
        <v>134851.88</v>
      </c>
      <c r="O34" s="2"/>
      <c r="P34" s="21">
        <f>SUM(P32:P33)</f>
        <v>140623.21</v>
      </c>
      <c r="Q34" s="2"/>
      <c r="R34" s="21">
        <f>SUM(R32:R33)</f>
        <v>145688.07</v>
      </c>
      <c r="S34" s="2"/>
      <c r="T34" s="21">
        <f>SUM(T32:T33)</f>
        <v>150099.6</v>
      </c>
      <c r="U34" s="2"/>
      <c r="V34" s="21">
        <f>SUM(V32:V33)</f>
        <v>154716.75</v>
      </c>
      <c r="W34" s="2"/>
      <c r="X34" s="21">
        <f>SUM(X32:X33)</f>
        <v>160462.57999999999</v>
      </c>
      <c r="Y34" s="2"/>
      <c r="Z34" s="21">
        <f>SUM(Z32:Z33)</f>
        <v>171313.56</v>
      </c>
      <c r="AA34" s="2"/>
      <c r="AB34" s="2"/>
    </row>
    <row r="35" spans="2:28" ht="13.5" thickBot="1" x14ac:dyDescent="0.35">
      <c r="B35" s="8" t="s">
        <v>64</v>
      </c>
      <c r="D35" s="16">
        <f>D34+D29</f>
        <v>112874.31</v>
      </c>
      <c r="E35" s="2"/>
      <c r="F35" s="16">
        <f>F34+F29</f>
        <v>118038.59999999999</v>
      </c>
      <c r="G35" s="2"/>
      <c r="H35" s="16">
        <f>H34+H29</f>
        <v>123848.92</v>
      </c>
      <c r="I35" s="2"/>
      <c r="J35" s="16">
        <f>J34+J29</f>
        <v>126684.14</v>
      </c>
      <c r="K35" s="2"/>
      <c r="L35" s="16">
        <f>L34+L29</f>
        <v>57448.06</v>
      </c>
      <c r="M35" s="2"/>
      <c r="N35" s="16">
        <f>N34+N29</f>
        <v>61268.930000000008</v>
      </c>
      <c r="O35" s="2"/>
      <c r="P35" s="16">
        <f>P34+P29</f>
        <v>65987.37999999999</v>
      </c>
      <c r="Q35" s="2"/>
      <c r="R35" s="16">
        <f>R34+R29</f>
        <v>71705.030000000013</v>
      </c>
      <c r="S35" s="2"/>
      <c r="T35" s="16">
        <f>T34+T29</f>
        <v>76928.040000000008</v>
      </c>
      <c r="U35" s="2"/>
      <c r="V35" s="16">
        <f>V34+V29</f>
        <v>79919.55</v>
      </c>
      <c r="W35" s="2"/>
      <c r="X35" s="16">
        <f>X34+X29</f>
        <v>85783.699999999983</v>
      </c>
      <c r="Y35" s="2"/>
      <c r="Z35" s="16">
        <f>Z34+Z29</f>
        <v>57811.66</v>
      </c>
      <c r="AA35" s="2"/>
      <c r="AB35" s="2"/>
    </row>
    <row r="36" spans="2:28" ht="13.5" thickTop="1" x14ac:dyDescent="0.3"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spans="2:28" x14ac:dyDescent="0.3"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spans="2:28" x14ac:dyDescent="0.3"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RS P&amp;L - 2025</vt:lpstr>
      <vt:lpstr>RS BS - 2025</vt:lpstr>
      <vt:lpstr>RS Personal P&amp;L - 2024</vt:lpstr>
      <vt:lpstr>RS Personal BS - 2024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Collins</dc:creator>
  <cp:lastModifiedBy>William Schafer</cp:lastModifiedBy>
  <dcterms:created xsi:type="dcterms:W3CDTF">2025-02-23T17:56:31Z</dcterms:created>
  <dcterms:modified xsi:type="dcterms:W3CDTF">2026-03-30T22:52:22Z</dcterms:modified>
</cp:coreProperties>
</file>